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Identificação" sheetId="2" r:id="rId6"/>
    <sheet state="visible" name="1 Fontes" sheetId="3" r:id="rId7"/>
    <sheet state="visible" name="2 Formatos" sheetId="4" r:id="rId8"/>
    <sheet state="visible" name="3 Modelos" sheetId="5" r:id="rId9"/>
    <sheet state="visible" name="4 Cargas e Engines" sheetId="6" r:id="rId10"/>
    <sheet state="visible" name="5 Pipeline" sheetId="7" r:id="rId11"/>
    <sheet state="visible" name="ADR" sheetId="8" r:id="rId12"/>
  </sheets>
  <definedNames/>
  <calcPr/>
</workbook>
</file>

<file path=xl/sharedStrings.xml><?xml version="1.0" encoding="utf-8"?>
<sst xmlns="http://schemas.openxmlformats.org/spreadsheetml/2006/main" count="601" uniqueCount="460">
  <si>
    <t>Engenharia de Dados aplicada ao seu projeto — BD2 / FCTE-UnB</t>
  </si>
  <si>
    <t>Identificação do projeto e da equipe</t>
  </si>
  <si>
    <t>Bloco 2 — Formatos de armazenamento e serialização</t>
  </si>
  <si>
    <t>Bloco 1 — Inventário de fontes de dados do projeto</t>
  </si>
  <si>
    <t>Planilha de acompanhamento. Preencha a partir do projeto que a sua equipe está desenvolvendo.</t>
  </si>
  <si>
    <t>Preencha antes de começar as demais abas.</t>
  </si>
  <si>
    <t>COMO USAR</t>
  </si>
  <si>
    <t>Uma linha por conjunto de dados que o projeto grava. A coluna de justificativa é a que vale nota.</t>
  </si>
  <si>
    <t>Campo</t>
  </si>
  <si>
    <t>Uma linha por fonte. Se a equipe não souber responder vazão, pureza e previsibilidade, ainda não dá para desenhar o pipeline.</t>
  </si>
  <si>
    <t>Linha 6 = exemplo fictício (não apague). Preencha a partir da linha 7.</t>
  </si>
  <si>
    <t>Resposta da equipe</t>
  </si>
  <si>
    <t>Observação / o que se espera</t>
  </si>
  <si>
    <t>Nº</t>
  </si>
  <si>
    <t>Nome do projeto</t>
  </si>
  <si>
    <t>Conjunto de dados</t>
  </si>
  <si>
    <t>Nome da fonte</t>
  </si>
  <si>
    <t>Fonte de origem
(nº da aba 1)</t>
  </si>
  <si>
    <t>Tipo
(usuário | sistema | interna | terceiro)</t>
  </si>
  <si>
    <t>Formato atual</t>
  </si>
  <si>
    <t>Quem ou o que gera</t>
  </si>
  <si>
    <t>Uma aba por bloco da aula</t>
  </si>
  <si>
    <t>O que essa fonte contém</t>
  </si>
  <si>
    <t>Texto ou binário</t>
  </si>
  <si>
    <t>Tragetórias acadêmicas UnB</t>
  </si>
  <si>
    <t>Formato em que chega
(JSON, CSV, formulário, API…)</t>
  </si>
  <si>
    <t>Orientação
(linha | coluna | não se aplica)</t>
  </si>
  <si>
    <t>Volume estimado
(por dia ou por mês)</t>
  </si>
  <si>
    <t>As abas 1 a 5 seguem exatamente os cinco blocos da apresentação: fontes, formatos, modelos, cargas/engines e pipeline.</t>
  </si>
  <si>
    <t>Frequência de chegada
(tempo real | horária | diária | eventual)</t>
  </si>
  <si>
    <t>Tamanho estimado
(em 1 ano)</t>
  </si>
  <si>
    <t>Vazão
(alta | média | baixa)</t>
  </si>
  <si>
    <t>Como é lido
(registro inteiro | poucas colunas | busca por chave)</t>
  </si>
  <si>
    <t>Pureza
(alta | média | baixa)</t>
  </si>
  <si>
    <t>Previsibilidade do formato
(alta | média | baixa)</t>
  </si>
  <si>
    <t>Frequência de leitura</t>
  </si>
  <si>
    <t>Como o projeto é chamado.</t>
  </si>
  <si>
    <t>Contém dado pessoal?
(sim | não)</t>
  </si>
  <si>
    <t>Formato proposto</t>
  </si>
  <si>
    <t>Base legal LGPD
(se contém dado pessoal)</t>
  </si>
  <si>
    <t>Preencha as células em amarelo claro</t>
  </si>
  <si>
    <t>Retenção
(por quanto tempo guardar)</t>
  </si>
  <si>
    <t>Só elas esperam resposta. Cabeçalhos e exemplos não devem ser alterados.</t>
  </si>
  <si>
    <t>Justificativa da escolha</t>
  </si>
  <si>
    <t>O que quebra se essa fonte falhar</t>
  </si>
  <si>
    <t>A primeira linha de cada tabela é um EXEMPLO</t>
  </si>
  <si>
    <t>Ganho esperado (se houver troca)</t>
  </si>
  <si>
    <t>Equipe (nomes completos)</t>
  </si>
  <si>
    <t>1</t>
  </si>
  <si>
    <t>Está em cinza itálico, é fictícia e serve para mostrar o nível de detalhe esperado. Não apague — use como referência.</t>
  </si>
  <si>
    <t>Ana Joyce; Gustavo Alves; Gabriel Lima da Silva; Nathan Abreu; Guilherme Evangelista; Angélica; Davi Araújo</t>
  </si>
  <si>
    <t>Todos os integrantes.</t>
  </si>
  <si>
    <t>Acrescente linhas quando precisar</t>
  </si>
  <si>
    <t>As tabelas vêm com espaço de sobra; se faltar, insira linhas antes da última.</t>
  </si>
  <si>
    <t>Disciplina / turma / semestre</t>
  </si>
  <si>
    <t>Justificativa vale mais que ferramenta</t>
  </si>
  <si>
    <t>Sistemas de Banco de Dados 2 / Turma 3 / 2026.2</t>
  </si>
  <si>
    <t>Em toda coluna "por quê", a resposta esperada não é o nome de um produto: é o critério que levou à escolha.</t>
  </si>
  <si>
    <t>Em uma frase, o que o sistema faz</t>
  </si>
  <si>
    <t>Não invente número</t>
  </si>
  <si>
    <t>Trajetórias Acadêmicas na UnB: tempo de formação, cotas e formas de ingresso e disponibilidade de turmas</t>
  </si>
  <si>
    <t>Estimativa é aceita, desde que a coluna diga que é estimativa e como foi obtida.</t>
  </si>
  <si>
    <t>Sem jargão. Uma frase.</t>
  </si>
  <si>
    <t>Problema que ele resolve</t>
  </si>
  <si>
    <t>LEGENDA DE CORES</t>
  </si>
  <si>
    <t>Registro de empréstimo</t>
  </si>
  <si>
    <t>usuário</t>
  </si>
  <si>
    <t>Estudante no aplicativo</t>
  </si>
  <si>
    <t>O projeto apoia a coordenação acadêmica na definição estratégica e preditiva da oferta de disciplinas na UnB, reduzindo a dependência de decisões empíricas para combater a superlotação de turmas, mitigar gargalos curriculares e diminuir o tempo de retenção nos cursos. Ao mesmo tempo, a solução serve como uma fonte transparente de dados para futuros ingressantes e a comunidade externa, permitindo que potenciais estudantes conheçam a realidade prática de cada curso, o comportamento da taxa de conclusão, as formas de ingresso e os tempos médios de diplomação antes de iniciarem a trajetória universitária.</t>
  </si>
  <si>
    <t>Matrícula, bicicleta, horário de retirada e de devolução</t>
  </si>
  <si>
    <t>Formulário do app (JSON)</t>
  </si>
  <si>
    <t>~400 registros/dia</t>
  </si>
  <si>
    <t>Quem usa o sistema</t>
  </si>
  <si>
    <t>tempo real</t>
  </si>
  <si>
    <t>média</t>
  </si>
  <si>
    <t>Coordenadores de cursos de graduação, interessados em ingressar na UnB.</t>
  </si>
  <si>
    <t>alta</t>
  </si>
  <si>
    <t>Os atores principais.</t>
  </si>
  <si>
    <t>Histórico de empréstimos</t>
  </si>
  <si>
    <t>sim</t>
  </si>
  <si>
    <t>Execução de contrato (art. 7º, V)</t>
  </si>
  <si>
    <t>5 anos (regra da prefeitura do campus)</t>
  </si>
  <si>
    <t>Repositório / link do projeto</t>
  </si>
  <si>
    <t>Ninguém consegue retirar bicicleta; o sistema perde a função principal</t>
  </si>
  <si>
    <t>CSV exportado do banco</t>
  </si>
  <si>
    <t>Preencha aqui</t>
  </si>
  <si>
    <t>https://github.com/Trajetorias-Academicas-BD2-2026-2/Documentation</t>
  </si>
  <si>
    <t>texto</t>
  </si>
  <si>
    <t>2</t>
  </si>
  <si>
    <t>linha</t>
  </si>
  <si>
    <t>~1,2 GB</t>
  </si>
  <si>
    <t>poucas colunas (data e duração) sobre milhões de linhas</t>
  </si>
  <si>
    <t>semanal, para relatórios</t>
  </si>
  <si>
    <t>Parquet</t>
  </si>
  <si>
    <t>A análise só usa 3 de 14 colunas; formato colunar evita ler o resto e comprime valores repetidos</t>
  </si>
  <si>
    <t>Célula de preenchimento — é aqui que a equipe escreve.</t>
  </si>
  <si>
    <t>Leitura estimada 6x mais rápida e ~70% menos disco</t>
  </si>
  <si>
    <t>Dados de alunos — SIGAA</t>
  </si>
  <si>
    <t>Exemplo fictício</t>
  </si>
  <si>
    <t>sistema</t>
  </si>
  <si>
    <t>UnB / SIGAA</t>
  </si>
  <si>
    <t>Histórico acadêmico, forma de ingresso (PAS, Enem, Cotas), status (concluído/cancelado), turno, sexo, raça/cor, data de nascimento/ingresso</t>
  </si>
  <si>
    <t>CSV</t>
  </si>
  <si>
    <t>A confirmar</t>
  </si>
  <si>
    <t>Eventual / atualização periódica</t>
  </si>
  <si>
    <t>Média</t>
  </si>
  <si>
    <t>Linha de exemplo — não apague, use como referência.</t>
  </si>
  <si>
    <t>Alta</t>
  </si>
  <si>
    <t>Sim</t>
  </si>
  <si>
    <t>Impossibilita analisar o tempo médio de formação, perfil sociodemográfico, impacto de cotas/ingresso e taxas de evasão/conclusão</t>
  </si>
  <si>
    <t>Cabeçalho</t>
  </si>
  <si>
    <t>Dados dos alunos</t>
  </si>
  <si>
    <t>Nome da coluna — não altere.</t>
  </si>
  <si>
    <t>Calculado</t>
  </si>
  <si>
    <t>3</t>
  </si>
  <si>
    <t>Turmas</t>
  </si>
  <si>
    <t>Relação de turmas da instituição, permitindo analisar a oferta de disciplinas por período</t>
  </si>
  <si>
    <t>Semestral / eventual</t>
  </si>
  <si>
    <t>Não será possível analisar quais disciplinas são ofertadas, quantas turmas são abertas e como a oferta varia ao longo dos períodos</t>
  </si>
  <si>
    <t>Campo calculado automaticamente — não altere.</t>
  </si>
  <si>
    <t>PROGRESSO DO PREENCHIMENTO (calculado automaticamente)</t>
  </si>
  <si>
    <t>poucas colunas, conforme os indicadores analisados</t>
  </si>
  <si>
    <t>Semestral / durante as análises</t>
  </si>
  <si>
    <t>Data de preenchimento</t>
  </si>
  <si>
    <t>Componente Curricular</t>
  </si>
  <si>
    <t>O sistema não precisa utilizar todas as colunas dos dados dos alunos em cada análise. O formato colunar permite selecionar somente os atributos necessários e oferece boa compressão para grandes volumes de dados tabulares.</t>
  </si>
  <si>
    <t>Relação dos componentes curriculares dos cursos da UnB, incluindo informações necessárias para identificar e relacionar as disciplinas</t>
  </si>
  <si>
    <t>Menor uso de armazenamento e menor quantidade de dados lidos durante as análises.</t>
  </si>
  <si>
    <t>CSV / JSON</t>
  </si>
  <si>
    <t>Não, se utilizados apenas dados curriculares</t>
  </si>
  <si>
    <t>Não se aplica</t>
  </si>
  <si>
    <t>Enquanto necessário ao projeto</t>
  </si>
  <si>
    <t>Não será possível relacionar corretamente as turmas às disciplinas e analisar a estrutura curricular</t>
  </si>
  <si>
    <t>Aba</t>
  </si>
  <si>
    <t>Versão deste documento</t>
  </si>
  <si>
    <t>O que a aba responde</t>
  </si>
  <si>
    <t>1.0</t>
  </si>
  <si>
    <t>Atualize a cada revisão.</t>
  </si>
  <si>
    <t>Linhas preenchidas</t>
  </si>
  <si>
    <t>Mínimo esperado</t>
  </si>
  <si>
    <t>Situação</t>
  </si>
  <si>
    <t>1 Fontes</t>
  </si>
  <si>
    <t>poucas colunas e filtros por período, disciplina e turma</t>
  </si>
  <si>
    <t>As análises devem selecionar atributos específicos, como período, código da disciplina, turno, número de vagas e situação da turma. O formato colunar é adequado para esse tipo de consulta analítica.</t>
  </si>
  <si>
    <t>Redução do volume de dados lido e melhor desempenho nas consultas analíticas.</t>
  </si>
  <si>
    <t>De onde vem o dado do projeto e o que a origem impõe</t>
  </si>
  <si>
    <t>4</t>
  </si>
  <si>
    <t>Componentes curriculares</t>
  </si>
  <si>
    <t>poucas colunas / busca por chave (código do componente)</t>
  </si>
  <si>
    <t>Os componentes curriculares serão utilizados principalmente para relacionar códigos de disciplinas e informações da estrutura curricular. O formato permite selecionar apenas as colunas necessárias e manter os dados em um padrão único com as demais fontes.</t>
  </si>
  <si>
    <t>Padronização do armazenamento e redução do volume de leitura nas análises.</t>
  </si>
  <si>
    <t>5</t>
  </si>
  <si>
    <t>Dados integrados para análise de oferta</t>
  </si>
  <si>
    <t>2, 3 e 4</t>
  </si>
  <si>
    <t>binário</t>
  </si>
  <si>
    <t>coluna</t>
  </si>
  <si>
    <t>poucas colunas e filtros por período/disciplina</t>
  </si>
  <si>
    <t>Sob demanda / semanal</t>
  </si>
  <si>
    <t>É o conjunto principal utilizado pelo sistema para gerar indicadores. Parquet é adequado para consultas analíticas que filtram períodos, disciplinas, turnos e outras dimensões sem precisar carregar todas as colunas.</t>
  </si>
  <si>
    <t>Melhor desempenho nas consultas e menor uso de armazenamento em comparação com CSV.</t>
  </si>
  <si>
    <t>Dica do bloco 1: dado emitido pelo sistema mas que descreve a pessoa (cliques, tempo de uso, trajeto) é dado comportamental — conta como dado de usuário para efeito de LGPD.</t>
  </si>
  <si>
    <t>2 Formatos</t>
  </si>
  <si>
    <t>Em que formato o dado é gravado e por quê</t>
  </si>
  <si>
    <t>3 Modelos</t>
  </si>
  <si>
    <t>Como o dado é representado (entidades e modelo escolhido)</t>
  </si>
  <si>
    <t>4 Cargas e Engines</t>
  </si>
  <si>
    <t>Que carga cada armazenamento aguenta e com que garantia</t>
  </si>
  <si>
    <t>Dica do bloco 2: linha favorece quem lê registros inteiros; coluna favorece quem lê poucos atributos de muitos registros. Texto é legível e volumoso; binário é compacto e opaco.</t>
  </si>
  <si>
    <t>5 Pipeline</t>
  </si>
  <si>
    <t>Como o dado vai da origem ao consumo</t>
  </si>
  <si>
    <t>Riscos</t>
  </si>
  <si>
    <t>O que derruba o pipeline e como mitigar</t>
  </si>
  <si>
    <t>ADR</t>
  </si>
  <si>
    <t>A decisão registrada com contexto e alternativas</t>
  </si>
  <si>
    <t>Abas concluídas</t>
  </si>
  <si>
    <t>Fonte dos conceitos: apresentação "Engenharia de Dados 101" (BD2), adaptada de Chip Huyen, CS 329S — Stanford. Bibliografia: Reis &amp; Housley, Fundamentos de Engenharia de Dados (Novatec, 2023); Kleppmann, Designing Data-Intensive Applications.</t>
  </si>
  <si>
    <t>Bloco 3 — Modelo de dados do projeto</t>
  </si>
  <si>
    <t>Primeiro as entidades do domínio; depois as consultas que o sistema precisa responder.</t>
  </si>
  <si>
    <t>Entidade do domínio</t>
  </si>
  <si>
    <t>O que ela representa</t>
  </si>
  <si>
    <t>Atributos principais</t>
  </si>
  <si>
    <t>Relacionamentos com outras entidades</t>
  </si>
  <si>
    <t>Identificador (chave)</t>
  </si>
  <si>
    <t>Modelo escolhido
(relacional | documento | chave-valor | grafo | série temporal | vetorial)</t>
  </si>
  <si>
    <t>Modelos descartados</t>
  </si>
  <si>
    <t>Normalizado ou desnormalizado?</t>
  </si>
  <si>
    <t>Empréstimo</t>
  </si>
  <si>
    <t>Uma retirada de bicicleta por uma pessoa</t>
  </si>
  <si>
    <t>id, matrícula, id_bicicleta, retirada, devolução, situação</t>
  </si>
  <si>
    <t>Pertence a um Usuário; refere-se a uma Bicicleta</t>
  </si>
  <si>
    <t>id_emprestimo (chave primária)</t>
  </si>
  <si>
    <t>relacional</t>
  </si>
  <si>
    <t>documento (relações são o centro do domínio)</t>
  </si>
  <si>
    <t>normalizado</t>
  </si>
  <si>
    <t>Integridade importa mais que flexibilidade: não pode existir empréstimo de bicicleta inexistente</t>
  </si>
  <si>
    <t>Aluno</t>
  </si>
  <si>
    <t>Pessoa matriculada em um curso da UnB</t>
  </si>
  <si>
    <t>matrícula, curso, campus/unidade, turno, situação acadêmica</t>
  </si>
  <si>
    <t>Pertence a um curso; pode estar relacionado a várias disciplinas/turmas</t>
  </si>
  <si>
    <t>matrícula</t>
  </si>
  <si>
    <t>documento, chave-valor</t>
  </si>
  <si>
    <t>Normalizado</t>
  </si>
  <si>
    <t>Os dados dos alunos possuem atributos estruturados e precisam ser relacionados a outras entidades. O modelo relacional facilita filtros, agregações e cruzamentos sem duplicar informações.</t>
  </si>
  <si>
    <t>Disciplina ou componente oferecido pela UnB</t>
  </si>
  <si>
    <t>código, nome, créditos, departamento/unidade, tipo, pré-requisitos</t>
  </si>
  <si>
    <t>Pode possuir várias turmas; pode possuir relação de pré-requisito com outros componentes</t>
  </si>
  <si>
    <t>código_componente</t>
  </si>
  <si>
    <t>documento, chave-valor, grafo</t>
  </si>
  <si>
    <t>A disciplina é uma entidade de referência utilizada por diversas turmas. Mantê-la separada evita duplicação e garante consistência das informações curriculares.</t>
  </si>
  <si>
    <t>Turma</t>
  </si>
  <si>
    <t>Uma oferta específica de um componente curricular em determinado período</t>
  </si>
  <si>
    <t>código da turma, período, código do componente, horário, turno, vagas, situação</t>
  </si>
  <si>
    <t>Pertence a um componente curricular; pode possuir alunos matriculados</t>
  </si>
  <si>
    <t>id_turma / código da turma</t>
  </si>
  <si>
    <t>A turma possui relações claras com disciplinas e alunos e precisa ser consultada por período, disciplina e turno. O modelo relacional facilita esses relacionamentos e agregações.</t>
  </si>
  <si>
    <t>Matrícula</t>
  </si>
  <si>
    <t>Relação entre um aluno e uma turma em determinado período</t>
  </si>
  <si>
    <t>matrícula_aluno, id_turma, período, situação</t>
  </si>
  <si>
    <t>Relaciona um Aluno a uma Turma</t>
  </si>
  <si>
    <t>matrícula_aluno + id_turma + período</t>
  </si>
  <si>
    <t>É uma entidade associativa entre alunos e turmas. O modelo relacional permite representar muitos-para-muitos e consultar a demanda por disciplina e turma.</t>
  </si>
  <si>
    <t>6</t>
  </si>
  <si>
    <t>Período Letivo</t>
  </si>
  <si>
    <t>Semestre em que as turmas são ofertadas</t>
  </si>
  <si>
    <t>código/período, ano, semestre</t>
  </si>
  <si>
    <t>Possui várias turmas e matrículas</t>
  </si>
  <si>
    <t>id_período</t>
  </si>
  <si>
    <t>Permite comparar oferta e demanda ao longo dos semestres e identificar tendências de crescimento ou redução.</t>
  </si>
  <si>
    <t>7</t>
  </si>
  <si>
    <t>Oferta de Disciplina</t>
  </si>
  <si>
    <t>Quantidade de turmas e vagas disponibilizadas para um componente em determinado período</t>
  </si>
  <si>
    <t>período, componente, quantidade de turmas, vagas ofertadas, turno</t>
  </si>
  <si>
    <t>Relaciona um componente curricular a um período e às suas turmas</t>
  </si>
  <si>
    <t>id_oferta / componente + período</t>
  </si>
  <si>
    <t>documento, chave-valor, série temporal</t>
  </si>
  <si>
    <t>A oferta é uma informação estruturada que precisa ser relacionada à disciplina e ao período. O modelo relacional facilita comparações históricas e consultas por turno.</t>
  </si>
  <si>
    <t>8</t>
  </si>
  <si>
    <t>Indicador de Demanda</t>
  </si>
  <si>
    <t>Métricas utilizadas para apoiar a decisão de oferta</t>
  </si>
  <si>
    <t>período, componente, demanda, vagas, taxa de ocupação, número de turmas, turno</t>
  </si>
  <si>
    <t>Baseia-se em Turmas, Matrículas e Componentes Curriculares</t>
  </si>
  <si>
    <t>id_indicador / componente + período + turno</t>
  </si>
  <si>
    <t>série temporal, documento</t>
  </si>
  <si>
    <t>Desnormalizado</t>
  </si>
  <si>
    <t>É uma estrutura voltada principalmente para consulta e análise. Manter os indicadores consolidados reduz a necessidade de recalcular agregações complexas a cada consulta.</t>
  </si>
  <si>
    <t>Bloco 4 — Cargas de trabalho, engines e garantias</t>
  </si>
  <si>
    <t>CONSULTAS QUE O SISTEMA PRECISA RESPONDER — escreva em português, não em SQL</t>
  </si>
  <si>
    <t>Uma linha por armazenamento do projeto (banco principal, cache, réplica analítica, arquivo…).</t>
  </si>
  <si>
    <t>Consulta em português</t>
  </si>
  <si>
    <t>Quem pergunta</t>
  </si>
  <si>
    <t>Frequência
(por dia)</t>
  </si>
  <si>
    <t>Tipo
(pontual | agregada | de percurso)</t>
  </si>
  <si>
    <t>Em que modelo ela fica fácil</t>
  </si>
  <si>
    <t>Em que modelo ela fica sofrida</t>
  </si>
  <si>
    <t>Por quê</t>
  </si>
  <si>
    <t>Onde ela aparece no projeto (tela, relatório, API)</t>
  </si>
  <si>
    <t>Observações</t>
  </si>
  <si>
    <t>Armazenamento</t>
  </si>
  <si>
    <t>O que guarda</t>
  </si>
  <si>
    <t>Quantas bicicletas estão emprestadas agora?</t>
  </si>
  <si>
    <t>Tipo de carga
(OLTP | OLAP | misto)</t>
  </si>
  <si>
    <t>Equipe de manutenção</t>
  </si>
  <si>
    <t>~200</t>
  </si>
  <si>
    <t>SGBD ou serviço escolhido</t>
  </si>
  <si>
    <t>agregada</t>
  </si>
  <si>
    <t>Orientação
(linha | coluna)</t>
  </si>
  <si>
    <t>documento</t>
  </si>
  <si>
    <t>Exige contar registros com filtro — trivial com índice e SQL</t>
  </si>
  <si>
    <t>Painel da equipe de manutenção</t>
  </si>
  <si>
    <t>Latência aceitável</t>
  </si>
  <si>
    <t>Precisa refletir o estado do momento</t>
  </si>
  <si>
    <t>Disponibilidade exigida</t>
  </si>
  <si>
    <t>Garantias ACID necessárias
(A, C, I, D — quais)</t>
  </si>
  <si>
    <t>De qual garantia dá para abrir mão</t>
  </si>
  <si>
    <t>Quem cobre esse buraco se abrir mão</t>
  </si>
  <si>
    <t>Volume estimado em 1 ano</t>
  </si>
  <si>
    <t>Banco principal</t>
  </si>
  <si>
    <t>Usuários, bicicletas, empréstimos em andamento</t>
  </si>
  <si>
    <t>OLTP</t>
  </si>
  <si>
    <t>PostgreSQL</t>
  </si>
  <si>
    <t>&lt; 300 ms na retirada</t>
  </si>
  <si>
    <t>alta — sem ele ninguém pega bicicleta</t>
  </si>
  <si>
    <t>A, I e D são obrigatórias</t>
  </si>
  <si>
    <t>Nenhuma, no momento</t>
  </si>
  <si>
    <t>—</t>
  </si>
  <si>
    <t>~1,5 GB</t>
  </si>
  <si>
    <t>Domínio com integridade forte, volume moderado e equipe que já domina SQL</t>
  </si>
  <si>
    <t>Dados de alunos, componentes curriculares, turmas, períodos e matrículas</t>
  </si>
  <si>
    <t>&lt; 1 s</t>
  </si>
  <si>
    <t>A, C, I e D</t>
  </si>
  <si>
    <t>Nenhuma</t>
  </si>
  <si>
    <t>O domínio possui muitos relacionamentos e exige integridade entre as entidades. PostgreSQL permite utilizar chaves primárias e estrangeiras, restrições e transações para manter os dados consistentes.</t>
  </si>
  <si>
    <t>Base de dados analítica</t>
  </si>
  <si>
    <t>Dados consolidados e indicadores de oferta e demanda</t>
  </si>
  <si>
    <t>OLAP</t>
  </si>
  <si>
    <t>&lt; 5 s</t>
  </si>
  <si>
    <t>C, I e D</t>
  </si>
  <si>
    <t>A</t>
  </si>
  <si>
    <t>Pipeline de processamento pode refazer a carga a partir dos dados brutos</t>
  </si>
  <si>
    <t>As consultas são predominantemente analíticas, envolvendo filtros, agrupamentos e comparações por disciplina, período e turno. A separação da carga analítica evita sobrecarregar as operações principais do sistema.</t>
  </si>
  <si>
    <t>Armazenamento dos dados brutos</t>
  </si>
  <si>
    <t>Arquivos originais obtidos dos datasets da UnB</t>
  </si>
  <si>
    <t>Sistema de arquivos</t>
  </si>
  <si>
    <t>não se aplica</t>
  </si>
  <si>
    <t>&lt; 30 s</t>
  </si>
  <si>
    <t>D</t>
  </si>
  <si>
    <t>A, C e I</t>
  </si>
  <si>
    <t>Dica do bloco 3: o modelo certo é aquele em que a consulta MAIS FREQUENTE é a mais simples de escrever. Se a pergunta central for sobre conexões de profundidade variável, o relacional vai doer.</t>
  </si>
  <si>
    <t>Os arquivos podem ser novamente obtidos das fontes oficiais e processados pelo pipeline</t>
  </si>
  <si>
    <t>Manter os dados originais facilita auditoria, reprodução do processamento e recuperação da base analítica.</t>
  </si>
  <si>
    <t>Bloco 5 — Pipeline de dados do projeto (movimentação e transformação)</t>
  </si>
  <si>
    <t>Uma linha por etapa, na ordem em que o dado percorre o caminho: fonte → ingestão → armazenamento → transformação → consumo.</t>
  </si>
  <si>
    <t>Etapa</t>
  </si>
  <si>
    <t>Origem</t>
  </si>
  <si>
    <t>Destino</t>
  </si>
  <si>
    <t>Transformações aplicadas
(limpar, validar, juntar, deduplicar, agregar…)</t>
  </si>
  <si>
    <t>ETL ou ELT</t>
  </si>
  <si>
    <t>Lote ou contínuo</t>
  </si>
  <si>
    <t>Frequência de execução</t>
  </si>
  <si>
    <t>Custo de um atraso de 1 hora</t>
  </si>
  <si>
    <t>Ferramenta prevista</t>
  </si>
  <si>
    <t>Responsável na equipe</t>
  </si>
  <si>
    <t>Como a equipe sabe que a etapa falhou</t>
  </si>
  <si>
    <t>Carga diária para análise</t>
  </si>
  <si>
    <t>Banco principal (PostgreSQL)</t>
  </si>
  <si>
    <t>Dica do bloco 4: a pergunta certa não é "tem ACID?", e sim "de que garantia eu posso abrir mão — e quem cobre o buraco?". Relatório pesado não roda no banco de produção.</t>
  </si>
  <si>
    <t>Arquivo Parquet no armazenamento de objetos</t>
  </si>
  <si>
    <t>Deduplicar empréstimos reenviados; derivar duração; anonimizar a matrícula</t>
  </si>
  <si>
    <t>ETL</t>
  </si>
  <si>
    <t>lote</t>
  </si>
  <si>
    <t>diária, às 3h</t>
  </si>
  <si>
    <t>Baixo — o painel é olhado uma vez por dia</t>
  </si>
  <si>
    <t>Script Python + cron</t>
  </si>
  <si>
    <t>Beto Lima</t>
  </si>
  <si>
    <t>O job registra a contagem de linhas; se cair abaixo de 100, envia alerta no grupo</t>
  </si>
  <si>
    <t>Coleta de dados dos alunos</t>
  </si>
  <si>
    <t>Dataset de alunos da UnB</t>
  </si>
  <si>
    <t>Armazenamento de dados brutos</t>
  </si>
  <si>
    <t>Baixar o arquivo, verificar formato, tamanho, colunas e integridade</t>
  </si>
  <si>
    <t>ELT</t>
  </si>
  <si>
    <t>Lote</t>
  </si>
  <si>
    <t>Semestral / conforme atualização da fonte</t>
  </si>
  <si>
    <t>Baixo — os dados não precisam ser atualizados em tempo real</t>
  </si>
  <si>
    <t>Python + requisição HTTP / download do arquivo</t>
  </si>
  <si>
    <t>A definir</t>
  </si>
  <si>
    <t>Registro de erro no processo, arquivo ausente ou alteração inesperada nas colunas</t>
  </si>
  <si>
    <t>Coleta de turmas</t>
  </si>
  <si>
    <t>Dataset de Turmas da UnB</t>
  </si>
  <si>
    <t>Baixar os dados, validar estrutura e preservar o arquivo original</t>
  </si>
  <si>
    <t>Baixo — a análise é histórica e não depende de atualização em tempo real</t>
  </si>
  <si>
    <t>Python</t>
  </si>
  <si>
    <t>Falha no download, arquivo vazio ou alteração no esquema esperado</t>
  </si>
  <si>
    <t>Coleta de componentes curriculares</t>
  </si>
  <si>
    <t>Dataset de Componente Curricular da UnB</t>
  </si>
  <si>
    <t>Baixar, validar formato e verificar presença da chave do componente curricular</t>
  </si>
  <si>
    <t>Eventual / conforme atualização da fonte</t>
  </si>
  <si>
    <t>Baixo</t>
  </si>
  <si>
    <t>Erro de download, arquivo vazio ou ausência das colunas obrigatórias</t>
  </si>
  <si>
    <t>Validação e limpeza</t>
  </si>
  <si>
    <t>Dados brutos dos alunos, turmas e componentes</t>
  </si>
  <si>
    <t>Base de dados tratada</t>
  </si>
  <si>
    <t>Padronizar nomes e tipos de dados, tratar valores ausentes, remover duplicidades e validar identificadores</t>
  </si>
  <si>
    <t>Após cada atualização das fontes</t>
  </si>
  <si>
    <t>Baixo — o processamento pode ser reexecutado</t>
  </si>
  <si>
    <t>Python + Pandas</t>
  </si>
  <si>
    <t>Relatório de validação registra quantidade de registros processados, erros e duplicidades</t>
  </si>
  <si>
    <t>Integração dos dados</t>
  </si>
  <si>
    <t>Dados tratados de alunos, turmas e componentes</t>
  </si>
  <si>
    <t>Banco PostgreSQL</t>
  </si>
  <si>
    <t>Juntar os dados pelas chaves, relacionar turmas aos componentes e alunos às respectivas informações acadêmicas</t>
  </si>
  <si>
    <t>Python + PostgreSQL</t>
  </si>
  <si>
    <t>Verificação das chaves estrangeiras, quantidade de registros relacionados e registros sem correspondência</t>
  </si>
  <si>
    <t>Carga da base analítica</t>
  </si>
  <si>
    <t>Dados integrados</t>
  </si>
  <si>
    <t>Base analítica PostgreSQL / arquivos Parquet</t>
  </si>
  <si>
    <t>Selecionar atributos relevantes, calcular indicadores e preparar dados para consultas</t>
  </si>
  <si>
    <t>Após cada atualização dos dados</t>
  </si>
  <si>
    <t>Python + PostgreSQL + Parquet</t>
  </si>
  <si>
    <t>Comparação entre quantidade de registros de entrada e saída e validação dos indicadores gerados</t>
  </si>
  <si>
    <t>Geração de indicadores</t>
  </si>
  <si>
    <t>Base analítica</t>
  </si>
  <si>
    <t>Dashboard / sistema de apoio à decisão</t>
  </si>
  <si>
    <t>Agregar dados por disciplina, semestre e turno; calcular demanda, oferta, ocupação e tendências</t>
  </si>
  <si>
    <t>Semestral / sob demanda</t>
  </si>
  <si>
    <t>SQL + Python</t>
  </si>
  <si>
    <t>Testes de consistência dos indicadores e registro de erro na execução das consultas</t>
  </si>
  <si>
    <t>9</t>
  </si>
  <si>
    <t>Consumo dos dados</t>
  </si>
  <si>
    <t>Indicadores da base analítica</t>
  </si>
  <si>
    <t>Coordenador de curso</t>
  </si>
  <si>
    <t>Filtrar e apresentar informações sobre oferta, demanda, ocupação e distribuição por turno</t>
  </si>
  <si>
    <t>Sob demanda</t>
  </si>
  <si>
    <t>Conforme consulta do usuário</t>
  </si>
  <si>
    <t>Médio — atraso afeta a experiência do usuário, mas não interrompe a coleta</t>
  </si>
  <si>
    <t>Aplicação web / dashboard</t>
  </si>
  <si>
    <t>Monitoramento da aplicação e mensagens de erro quando os indicadores não puderem ser carregados</t>
  </si>
  <si>
    <t>Dica do bloco 5: extrair e carregar são mecânicos; o trabalho de verdade está no T. Cada transformação é uma decisão de negócio disfarçada de código — documente. Comece em lote e só migre para contínuo quando alguém souber dizer quanto custa o atraso.</t>
  </si>
  <si>
    <t>Rascunho de ADR — registro da decisão de dados</t>
  </si>
  <si>
    <t>Este é o insumo do Método de Decisão da disciplina. Preencha em prosa, não em tópicos soltos.</t>
  </si>
  <si>
    <t>Coluna C = resposta da equipe. Coluna D traz o que se espera em cada campo.</t>
  </si>
  <si>
    <t>#</t>
  </si>
  <si>
    <t>Campo do ADR</t>
  </si>
  <si>
    <t>O que se espera aqui</t>
  </si>
  <si>
    <t>Título da decisão</t>
  </si>
  <si>
    <t>Adotar PostgreSQL como banco principal e Parquet como formato da camada analítica.</t>
  </si>
  <si>
    <t>Frase curta no imperativo: "Adotar PostgreSQL como banco principal".</t>
  </si>
  <si>
    <t>Data</t>
  </si>
  <si>
    <t>Data em que a decisão foi tomada.</t>
  </si>
  <si>
    <t>Status</t>
  </si>
  <si>
    <t>proposto</t>
  </si>
  <si>
    <t>proposto | aceito | substituído por (nº).</t>
  </si>
  <si>
    <t>Quem decidiu</t>
  </si>
  <si>
    <t>Ana Joyce, Gustavo Alves, Gabriel Lima da Silva, Nathan Abreu, Guilherme Evangelista, Angélica e Davi Araújo.</t>
  </si>
  <si>
    <t>Nomes de quem participou da decisão.</t>
  </si>
  <si>
    <t>Contexto</t>
  </si>
  <si>
    <t>O projeto tem como objetivo apoiar coordenadores de cursos de graduação da UnB na decisão sobre quais disciplinas ofertar e quantas turmas abrir em cada semestre. Para isso, precisamos integrar dados de alunos, turmas e componentes curriculares disponibilizados pela UnB e realizar consultas que envolvem relacionamentos, filtros, agrupamentos e comparações históricas. A decisão de armazenamento é necessária para definir uma tecnologia capaz de preservar esses relacionamentos e, ao mesmo tempo, permitir análises sobre demanda, oferta, ocupação e distribuição das disciplinas por período e turno.</t>
  </si>
  <si>
    <t>O que está acontecendo no projeto que torna a decisão necessária. Sem contexto o ADR não serve para nada daqui a seis meses.</t>
  </si>
  <si>
    <t>Requisitos e restrições</t>
  </si>
  <si>
    <t>O volume esperado é moderado, composto principalmente pelos datasets públicos da UnB e suas atualizações periódicas. O sistema não precisa de processamento em tempo real, pois a oferta de disciplinas é uma decisão realizada em escala semestral. As consultas precisam apresentar resultados em poucos segundos e envolvem principalmente filtros e agregações por disciplina, semestre e turno. A integridade dos relacionamentos entre alunos, turmas e componentes curriculares é importante. Além disso, a equipe possui familiaridade com SQL e precisa manter a solução com custo e complexidade compatíveis com um projeto acadêmico</t>
  </si>
  <si>
    <t>Volume esperado, latência exigida, garantias necessárias, prazo, custo, o que a equipe já sabe usar.</t>
  </si>
  <si>
    <t>Padrões de acesso previstos</t>
  </si>
  <si>
    <t>As consultas mais frequentes serão identificar quantas turmas de cada disciplina foram abertas por semestre; verificar quais disciplinas possuem maior demanda ou ocupação; comparar a oferta e a demanda ao longo dos períodos; identificar disciplinas que podem funcionar como gargalos na estrutura curricular; e comparar a oferta de disciplinas obrigatórias entre os turnos diurno e noturno. Essas consultas exigem principalmente filtros, junções e agregações sobre alunos, turmas, componentes curriculares e períodos</t>
  </si>
  <si>
    <t>As consultas mais frequentes (traga da aba 3 Modelos).</t>
  </si>
  <si>
    <t>Decisão</t>
  </si>
  <si>
    <t>Adotar PostgreSQL como banco de dados principal, mantendo os dados brutos e analíticos em Parquet quando isso beneficiar as consultas e o processamento analítico</t>
  </si>
  <si>
    <t>O que foi decidido, em uma frase afirmativa.</t>
  </si>
  <si>
    <t>Alternativa 1 considerada</t>
  </si>
  <si>
    <t>MySQL</t>
  </si>
  <si>
    <t>Nome da alternativa.</t>
  </si>
  <si>
    <t xml:space="preserve">  → prós da alternativa 1</t>
  </si>
  <si>
    <t>O MySQL é um SGBD relacional consolidado, possui bom desempenho para cargas estruturadas e oferece suporte a chaves, relacionamentos e consultas SQL. Também seria suficiente para o volume inicialmente esperado pelo projeto</t>
  </si>
  <si>
    <t>Onde ela ganharia.</t>
  </si>
  <si>
    <t xml:space="preserve">  → contras da alternativa 1</t>
  </si>
  <si>
    <t>Apesar de atender ao modelo relacional, não oferece uma vantagem concreta sobre o PostgreSQL para as necessidades específicas do projeto. A equipe também pretende realizar análises e utilizar recursos SQL que são bem suportados pelo PostgreSQL</t>
  </si>
  <si>
    <t>Onde ela perde para a escolhida.</t>
  </si>
  <si>
    <t xml:space="preserve">  → por que não foi escolhida</t>
  </si>
  <si>
    <t>O critério de desempate foi a adequação ao projeto e a familiaridade da equipe com PostgreSQL, sem necessidade de introduzir outra tecnologia relacional que não apresenta benefício relevante para o caso.</t>
  </si>
  <si>
    <t>O critério concreto que a eliminou.</t>
  </si>
  <si>
    <t>Alternativa 2 considerada</t>
  </si>
  <si>
    <t>MongoDB</t>
  </si>
  <si>
    <t xml:space="preserve">  → prós da alternativa 2</t>
  </si>
  <si>
    <t>O MongoDB oferece flexibilidade de esquema e pode ser interessante quando os dados possuem estruturas variadas ou mudam frequentemente. Também permite armazenar documentos diretamente sem exigir um modelo relacional tradicional</t>
  </si>
  <si>
    <t xml:space="preserve">  → contras da alternativa 2</t>
  </si>
  <si>
    <t>O projeto possui relacionamentos importantes entre alunos, turmas, componentes curriculares e períodos. As consultas previstas dependem de cruzamentos e agregações entre essas entidades, tornando o modelo documental menos natural para o domínio e potencialmente aumentando a complexidade das consultas e da manutenção dos dados</t>
  </si>
  <si>
    <t>O critério concreto foi a necessidade de representar e consultar relacionamentos estruturados entre várias entidades. O modelo relacional do PostgreSQL atende diretamente a esse requisito, enquanto o MongoDB ofereceria flexibilidade que não é necessária para o problema</t>
  </si>
  <si>
    <t>Evidência que sustenta a decisão</t>
  </si>
  <si>
    <t>A decisão é sustentada pela análise das três fontes reais disponibilizadas no Portal de Dados Abertos da UnB — dados de alunos, turmas e componentes curriculares — e pelos padrões de acesso identificados no modelo de dados. Os datasets possuem estrutura tabular e precisam ser relacionados para produzir os indicadores do projeto. A escolha também será validada por uma prova de conceito utilizando PostgreSQL e Parquet com os dados reais, comparando o tempo das consultas e o volume de armazenamento</t>
  </si>
  <si>
    <t>Medição, prova de conceito, benchmark ou fonte consultada. Opinião não é evidência.</t>
  </si>
  <si>
    <t>Consequências positivas</t>
  </si>
  <si>
    <t>A equipe poderá representar os relacionamentos do domínio de forma clara, utilizar chaves e restrições para preservar a integridade dos dados e realizar consultas SQL complexas de maneira direta. O uso de Parquet na camada analítica também permite reduzir a quantidade de dados lidos quando as análises utilizarem apenas algumas colunas. A solução permanece relativamente simples e utiliza tecnologias adequadas ao conhecimento da equipe</t>
  </si>
  <si>
    <t>O que fica mais fácil a partir de agora.</t>
  </si>
  <si>
    <t>Consequências negativas</t>
  </si>
  <si>
    <t>A equipe terá de manter uma etapa de tratamento e integração dos dados antes que eles possam ser utilizados nas análises. O uso simultâneo de PostgreSQL e Parquet também aumenta um pouco a complexidade do pipeline em comparação com armazenar tudo em um único formato. Além disso, PostgreSQL pode exigir ajustes de índices e consultas caso o volume cresça significativamente</t>
  </si>
  <si>
    <t>A dor aceita conscientemente. Todo ADR sem essa parte está incompleto.</t>
  </si>
  <si>
    <t>Riscos assumidos</t>
  </si>
  <si>
    <t>Assume-se o risco de o volume de dados crescer além da estimativa inicial e tornar algumas consultas mais lentas. Também existe o risco de alterações no formato ou nas colunas dos datasets disponibilizados pela UnB quebrarem o pipeline de ingestão. Como os dados são provenientes de fontes externas, a equipe também depende da disponibilidade e da periodicidade de atualização dessas fontes.</t>
  </si>
  <si>
    <t>Traga da aba Riscos os que decorrem desta decisão.</t>
  </si>
  <si>
    <t>Como e quando revisitar</t>
  </si>
  <si>
    <t>A decisão deverá ser revisitada se o volume de dados crescer significativamente, se consultas analíticas ultrapassarem a latência aceitável de aproximadamente cinco segundos, se o custo ou a complexidade de manutenção aumentar ou se surgirem requisitos de processamento em tempo real. Também deverá ser revisitada caso a UnB altere significativamente o formato ou a estrutura dos datasets utilizados pelo projeto</t>
  </si>
  <si>
    <t>Que sinal (volume, latência, custo, nova exigência) fará a equipe reabrir esta decisão.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</si>
</sst>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45606B"/>
      <name val="Arial"/>
    </font>
    <font>
      <b/>
      <sz val="9.0"/>
      <color rgb="FFFFFFFF"/>
      <name val="Arial"/>
    </font>
    <font>
      <i/>
      <sz val="9.0"/>
      <color rgb="FFD97D25"/>
      <name val="Arial"/>
    </font>
    <font>
      <b/>
      <sz val="10.0"/>
      <color rgb="FFFFFFFF"/>
      <name val="Arial"/>
    </font>
    <font>
      <b/>
      <sz val="10.0"/>
      <color rgb="FF12232E"/>
      <name val="Arial"/>
    </font>
    <font>
      <sz val="10.0"/>
      <color rgb="FF000000"/>
      <name val="Arial"/>
    </font>
    <font>
      <sz val="10.0"/>
      <color theme="1"/>
      <name val="Arial"/>
    </font>
    <font>
      <i/>
      <sz val="9.0"/>
      <color rgb="FF808080"/>
      <name val="Arial"/>
    </font>
    <font>
      <b/>
      <sz val="9.0"/>
      <color rgb="FF000000"/>
      <name val="Arial"/>
    </font>
    <font>
      <i/>
      <sz val="8.0"/>
      <color rgb="FF808080"/>
      <name val="Arial"/>
    </font>
    <font>
      <sz val="8.0"/>
      <color rgb="FF0D0D0D"/>
      <name val="-apple-system-body"/>
    </font>
    <font>
      <b/>
      <i/>
      <sz val="9.0"/>
      <color rgb="FF808080"/>
      <name val="Arial"/>
    </font>
    <font>
      <sz val="8.0"/>
      <color theme="1"/>
      <name val="Calibri"/>
      <scheme val="minor"/>
    </font>
    <font>
      <sz val="9.0"/>
      <color rgb="FF0D0D0D"/>
      <name val="-apple-system-body"/>
    </font>
    <font>
      <sz val="8.0"/>
      <color rgb="FF0D0D0D"/>
      <name val="Arial"/>
    </font>
    <font>
      <b/>
      <sz val="9.0"/>
      <color rgb="FF12232E"/>
      <name val="Arial"/>
    </font>
    <font>
      <u/>
      <sz val="10.0"/>
      <color rgb="FF000000"/>
      <name val="Arial"/>
    </font>
    <font>
      <sz val="9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sz val="9.0"/>
      <color rgb="FF808080"/>
      <name val="Arial"/>
    </font>
    <font>
      <sz val="10.0"/>
      <color rgb="FF12232E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2232E"/>
        <bgColor rgb="FF12232E"/>
      </patternFill>
    </fill>
    <fill>
      <patternFill patternType="solid">
        <fgColor rgb="FF028090"/>
        <bgColor rgb="FF028090"/>
      </patternFill>
    </fill>
    <fill>
      <patternFill patternType="solid">
        <fgColor rgb="FF1B3A4B"/>
        <bgColor rgb="FF1B3A4B"/>
      </patternFill>
    </fill>
    <fill>
      <patternFill patternType="solid">
        <fgColor rgb="FFFFFDF0"/>
        <bgColor rgb="FFFFFDF0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EDF4F4"/>
        <bgColor rgb="FFEDF4F4"/>
      </patternFill>
    </fill>
    <fill>
      <patternFill patternType="solid">
        <fgColor rgb="FFD97D25"/>
        <bgColor rgb="FFD97D25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9DBDB"/>
      </left>
      <right style="thin">
        <color rgb="FFC9DBDB"/>
      </right>
      <top style="thin">
        <color rgb="FFC9DBDB"/>
      </top>
      <bottom style="thin">
        <color rgb="FFC9DBDB"/>
      </bottom>
    </border>
    <border>
      <left style="thin">
        <color rgb="FFC9DBDB"/>
      </left>
      <right style="thin">
        <color rgb="FFC9DBDB"/>
      </right>
      <top style="thin">
        <color rgb="FFC9DBDB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BDB"/>
      </left>
      <top style="thin">
        <color rgb="FFC9DBDB"/>
      </top>
      <bottom style="thin">
        <color rgb="FFC9DBDB"/>
      </bottom>
    </border>
    <border>
      <left style="thin">
        <color rgb="FFC9DBDB"/>
      </left>
      <right style="thin">
        <color rgb="FFC9DBDB"/>
      </right>
      <bottom style="thin">
        <color rgb="FFC9DBDB"/>
      </bottom>
    </border>
    <border>
      <right style="thin">
        <color rgb="FFC9DBDB"/>
      </right>
      <top style="thin">
        <color rgb="FFC9DBDB"/>
      </top>
      <bottom style="thin">
        <color rgb="FFC9DBDB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0"/>
    </xf>
    <xf borderId="4" fillId="3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horizontal="left" shrinkToFit="0" vertical="center" wrapText="0"/>
    </xf>
    <xf borderId="4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4" fillId="5" fontId="8" numFmtId="0" xfId="0" applyAlignment="1" applyBorder="1" applyFill="1" applyFont="1">
      <alignment readingOrder="0" shrinkToFit="0" vertical="center" wrapText="1"/>
    </xf>
    <xf borderId="0" fillId="0" fontId="9" numFmtId="0" xfId="0" applyAlignment="1" applyFont="1">
      <alignment shrinkToFit="0" vertical="top" wrapText="1"/>
    </xf>
    <xf borderId="4" fillId="0" fontId="3" numFmtId="0" xfId="0" applyAlignment="1" applyBorder="1" applyFont="1">
      <alignment shrinkToFit="0" vertical="center" wrapText="1"/>
    </xf>
    <xf borderId="5" fillId="6" fontId="10" numFmtId="0" xfId="0" applyAlignment="1" applyBorder="1" applyFill="1" applyFont="1">
      <alignment horizontal="left" shrinkToFit="0" vertical="top" wrapText="1"/>
    </xf>
    <xf borderId="4" fillId="6" fontId="10" numFmtId="0" xfId="0" applyAlignment="1" applyBorder="1" applyFill="1" applyFont="1">
      <alignment horizontal="left" shrinkToFit="0" vertical="top" wrapText="1"/>
    </xf>
    <xf borderId="4" fillId="5" fontId="11" numFmtId="0" xfId="0" applyAlignment="1" applyBorder="1" applyFill="1" applyFont="1">
      <alignment horizontal="left" shrinkToFit="0" vertical="center" wrapText="0"/>
    </xf>
    <xf borderId="6" fillId="6" fontId="12" numFmtId="0" xfId="0" applyAlignment="1" applyBorder="1" applyFill="1" applyFont="1">
      <alignment horizontal="left" shrinkToFit="0" vertical="top" wrapText="1"/>
    </xf>
    <xf borderId="0" fillId="0" fontId="9" numFmtId="0" xfId="0" applyAlignment="1" applyFont="1">
      <alignment shrinkToFit="0" vertical="center" wrapText="1"/>
    </xf>
    <xf borderId="6" fillId="7" fontId="13" numFmtId="0" xfId="0" applyAlignment="1" applyBorder="1" applyFill="1" applyFont="1">
      <alignment readingOrder="0" shrinkToFit="0" wrapText="1"/>
    </xf>
    <xf borderId="4" fillId="6" fontId="14" numFmtId="0" xfId="0" applyAlignment="1" applyBorder="1" applyFill="1" applyFont="1">
      <alignment horizontal="left" shrinkToFit="0" vertical="center" wrapText="0"/>
    </xf>
    <xf borderId="7" fillId="6" fontId="10" numFmtId="0" xfId="0" applyAlignment="1" applyBorder="1" applyFill="1" applyFont="1">
      <alignment horizontal="left" shrinkToFit="0" vertical="top" wrapText="1"/>
    </xf>
    <xf borderId="4" fillId="3" fontId="4" numFmtId="0" xfId="0" applyAlignment="1" applyBorder="1" applyFill="1" applyFont="1">
      <alignment horizontal="left" shrinkToFit="0" vertical="center" wrapText="0"/>
    </xf>
    <xf borderId="0" fillId="0" fontId="15" numFmtId="0" xfId="0" applyAlignment="1" applyFont="1">
      <alignment shrinkToFit="0" wrapText="1"/>
    </xf>
    <xf borderId="6" fillId="7" fontId="16" numFmtId="0" xfId="0" applyAlignment="1" applyBorder="1" applyFill="1" applyFont="1">
      <alignment readingOrder="0" shrinkToFit="0" wrapText="1"/>
    </xf>
    <xf borderId="6" fillId="7" fontId="17" numFmtId="0" xfId="0" applyAlignment="1" applyBorder="1" applyFill="1" applyFont="1">
      <alignment readingOrder="0" shrinkToFit="0" wrapText="1"/>
    </xf>
    <xf borderId="4" fillId="8" fontId="18" numFmtId="0" xfId="0" applyAlignment="1" applyBorder="1" applyFill="1" applyFont="1">
      <alignment horizontal="left" shrinkToFit="0" vertical="center" wrapText="0"/>
    </xf>
    <xf borderId="6" fillId="7" fontId="16" numFmtId="0" xfId="0" applyAlignment="1" applyBorder="1" applyFill="1" applyFont="1">
      <alignment horizontal="right" readingOrder="0" shrinkToFit="0" wrapText="1"/>
    </xf>
    <xf borderId="4" fillId="5" fontId="19" numFmtId="0" xfId="0" applyAlignment="1" applyBorder="1" applyFill="1" applyFont="1">
      <alignment readingOrder="0" shrinkToFit="0" vertical="center" wrapText="1"/>
    </xf>
    <xf borderId="6" fillId="6" fontId="12" numFmtId="0" xfId="0" applyAlignment="1" applyBorder="1" applyFill="1" applyFont="1">
      <alignment horizontal="left" readingOrder="0" shrinkToFit="0" vertical="top" wrapText="1"/>
    </xf>
    <xf borderId="4" fillId="5" fontId="8" numFmtId="164" xfId="0" applyAlignment="1" applyBorder="1" applyFill="1" applyFont="1" applyNumberFormat="1">
      <alignment horizontal="left" readingOrder="0" shrinkToFit="0" vertical="center" wrapText="1"/>
    </xf>
    <xf borderId="0" fillId="0" fontId="20" numFmtId="0" xfId="0" applyAlignment="1" applyFont="1">
      <alignment shrinkToFit="0" wrapText="1"/>
    </xf>
    <xf borderId="8" fillId="5" fontId="9" numFmtId="0" xfId="0" applyAlignment="1" applyBorder="1" applyFill="1" applyFont="1">
      <alignment horizontal="left" shrinkToFit="0" vertical="top" wrapText="1"/>
    </xf>
    <xf borderId="4" fillId="5" fontId="9" numFmtId="0" xfId="0" applyAlignment="1" applyBorder="1" applyFill="1" applyFont="1">
      <alignment horizontal="left" shrinkToFit="0" vertical="top" wrapText="1"/>
    </xf>
    <xf borderId="4" fillId="0" fontId="7" numFmtId="0" xfId="0" applyAlignment="1" applyBorder="1" applyFont="1">
      <alignment shrinkToFit="0" vertical="center" wrapText="0"/>
    </xf>
    <xf borderId="4" fillId="0" fontId="9" numFmtId="0" xfId="0" applyAlignment="1" applyBorder="1" applyFont="1">
      <alignment shrinkToFit="0" vertical="center" wrapText="1"/>
    </xf>
    <xf borderId="4" fillId="8" fontId="7" numFmtId="0" xfId="0" applyAlignment="1" applyBorder="1" applyFill="1" applyFon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8" fontId="21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right" shrinkToFit="0" vertical="center" wrapText="0"/>
    </xf>
    <xf borderId="4" fillId="9" fontId="6" numFmtId="0" xfId="0" applyAlignment="1" applyBorder="1" applyFill="1" applyFont="1">
      <alignment horizontal="center" shrinkToFit="0" vertical="center" wrapText="0"/>
    </xf>
    <xf borderId="4" fillId="9" fontId="4" numFmtId="0" xfId="0" applyAlignment="1" applyBorder="1" applyFill="1" applyFont="1">
      <alignment horizontal="left" shrinkToFit="0" vertical="center" wrapText="1"/>
    </xf>
    <xf borderId="6" fillId="6" fontId="10" numFmtId="0" xfId="0" applyAlignment="1" applyBorder="1" applyFill="1" applyFont="1">
      <alignment horizontal="left" shrinkToFit="0" vertical="top" wrapText="1"/>
    </xf>
    <xf borderId="0" fillId="0" fontId="22" numFmtId="0" xfId="0" applyAlignment="1" applyFont="1">
      <alignment shrinkToFit="0" wrapText="1"/>
    </xf>
    <xf borderId="5" fillId="3" fontId="4" numFmtId="0" xfId="0" applyAlignment="1" applyBorder="1" applyFill="1" applyFont="1">
      <alignment horizontal="left" shrinkToFit="0" vertical="center" wrapText="1"/>
    </xf>
    <xf borderId="4" fillId="0" fontId="23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shrinkToFit="0" vertical="center" wrapText="1"/>
    </xf>
    <xf borderId="6" fillId="7" fontId="16" numFmtId="0" xfId="0" applyAlignment="1" applyBorder="1" applyFill="1" applyFont="1">
      <alignment horizontal="left" readingOrder="0" shrinkToFit="0" wrapText="1"/>
    </xf>
    <xf borderId="9" fillId="0" fontId="3" numFmtId="0" xfId="0" applyAlignment="1" applyBorder="1" applyFont="1">
      <alignment shrinkToFit="0" vertical="top" wrapText="1"/>
    </xf>
    <xf borderId="6" fillId="7" fontId="16" numFmtId="164" xfId="0" applyAlignment="1" applyBorder="1" applyFill="1" applyFont="1" applyNumberFormat="1">
      <alignment horizontal="left" readingOrder="0" shrinkToFit="0" wrapText="1"/>
    </xf>
    <xf borderId="7" fillId="0" fontId="2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rajetorias-Academicas-BD2-2026-2/Documentatio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2.0"/>
    <col customWidth="1" min="3" max="3" width="30.0"/>
    <col customWidth="1" min="4" max="5" width="18.0"/>
    <col customWidth="1" min="6" max="26" width="8.71"/>
  </cols>
  <sheetData>
    <row r="1" ht="30.0" customHeight="1">
      <c r="A1" s="1" t="s">
        <v>0</v>
      </c>
      <c r="B1" s="2"/>
      <c r="C1" s="2"/>
      <c r="D1" s="2"/>
      <c r="E1" s="3"/>
    </row>
    <row r="2" ht="24.0" customHeight="1">
      <c r="A2" s="4" t="s">
        <v>4</v>
      </c>
    </row>
    <row r="4" ht="21.75" customHeight="1">
      <c r="A4" s="7" t="s">
        <v>6</v>
      </c>
      <c r="B4" s="2"/>
      <c r="C4" s="2"/>
      <c r="D4" s="2"/>
      <c r="E4" s="3"/>
    </row>
    <row r="5" ht="30.0" customHeight="1">
      <c r="A5" s="9" t="s">
        <v>21</v>
      </c>
      <c r="B5" s="11" t="s">
        <v>28</v>
      </c>
    </row>
    <row r="6" ht="30.0" customHeight="1">
      <c r="A6" s="9" t="s">
        <v>40</v>
      </c>
      <c r="B6" s="11" t="s">
        <v>42</v>
      </c>
    </row>
    <row r="7" ht="30.0" customHeight="1">
      <c r="A7" s="9" t="s">
        <v>45</v>
      </c>
      <c r="B7" s="11" t="s">
        <v>49</v>
      </c>
    </row>
    <row r="8" ht="30.0" customHeight="1">
      <c r="A8" s="9" t="s">
        <v>52</v>
      </c>
      <c r="B8" s="11" t="s">
        <v>53</v>
      </c>
    </row>
    <row r="9" ht="30.0" customHeight="1">
      <c r="A9" s="9" t="s">
        <v>55</v>
      </c>
      <c r="B9" s="11" t="s">
        <v>57</v>
      </c>
    </row>
    <row r="10" ht="30.0" customHeight="1">
      <c r="A10" s="9" t="s">
        <v>59</v>
      </c>
      <c r="B10" s="11" t="s">
        <v>61</v>
      </c>
    </row>
    <row r="12" ht="21.75" customHeight="1">
      <c r="A12" s="7" t="s">
        <v>64</v>
      </c>
      <c r="B12" s="2"/>
      <c r="C12" s="2"/>
      <c r="D12" s="2"/>
      <c r="E12" s="3"/>
    </row>
    <row r="13" ht="19.5" customHeight="1">
      <c r="A13" s="15" t="s">
        <v>85</v>
      </c>
      <c r="B13" s="17" t="s">
        <v>95</v>
      </c>
    </row>
    <row r="14" ht="19.5" customHeight="1">
      <c r="A14" s="19" t="s">
        <v>98</v>
      </c>
      <c r="B14" s="17" t="s">
        <v>106</v>
      </c>
    </row>
    <row r="15" ht="19.5" customHeight="1">
      <c r="A15" s="21" t="s">
        <v>110</v>
      </c>
      <c r="B15" s="17" t="s">
        <v>112</v>
      </c>
    </row>
    <row r="16" ht="19.5" customHeight="1">
      <c r="A16" s="25" t="s">
        <v>113</v>
      </c>
      <c r="B16" s="17" t="s">
        <v>119</v>
      </c>
    </row>
    <row r="18" ht="21.75" customHeight="1">
      <c r="A18" s="7" t="s">
        <v>120</v>
      </c>
      <c r="B18" s="2"/>
      <c r="C18" s="2"/>
      <c r="D18" s="2"/>
      <c r="E18" s="3"/>
    </row>
    <row r="19" ht="30.0" customHeight="1">
      <c r="A19" s="5" t="s">
        <v>133</v>
      </c>
      <c r="B19" s="5" t="s">
        <v>135</v>
      </c>
      <c r="C19" s="5" t="s">
        <v>138</v>
      </c>
      <c r="D19" s="5" t="s">
        <v>139</v>
      </c>
      <c r="E19" s="5" t="s">
        <v>140</v>
      </c>
    </row>
    <row r="20" ht="24.0" customHeight="1">
      <c r="A20" s="33" t="s">
        <v>141</v>
      </c>
      <c r="B20" s="34" t="s">
        <v>145</v>
      </c>
      <c r="C20" s="35">
        <f>COUNTA('1 Fontes'!A7:A26)</f>
        <v>3</v>
      </c>
      <c r="D20" s="36">
        <v>4.0</v>
      </c>
      <c r="E20" s="37" t="str">
        <f t="shared" ref="E20:E26" si="1">IF(C20&gt;=D20,"OK","Falta preencher")</f>
        <v>Falta preencher</v>
      </c>
    </row>
    <row r="21" ht="24.0" customHeight="1">
      <c r="A21" s="33" t="s">
        <v>161</v>
      </c>
      <c r="B21" s="34" t="s">
        <v>162</v>
      </c>
      <c r="C21" s="35">
        <f>COUNTA('2 Formatos'!A7:A21)</f>
        <v>4</v>
      </c>
      <c r="D21" s="36">
        <v>3.0</v>
      </c>
      <c r="E21" s="37" t="str">
        <f t="shared" si="1"/>
        <v>OK</v>
      </c>
    </row>
    <row r="22" ht="24.0" customHeight="1">
      <c r="A22" s="33" t="s">
        <v>163</v>
      </c>
      <c r="B22" s="34" t="s">
        <v>164</v>
      </c>
      <c r="C22" s="35">
        <f>COUNTA('3 Modelos'!A7:A21)</f>
        <v>7</v>
      </c>
      <c r="D22" s="36">
        <v>4.0</v>
      </c>
      <c r="E22" s="37" t="str">
        <f t="shared" si="1"/>
        <v>OK</v>
      </c>
    </row>
    <row r="23" ht="24.0" customHeight="1">
      <c r="A23" s="33" t="s">
        <v>165</v>
      </c>
      <c r="B23" s="34" t="s">
        <v>166</v>
      </c>
      <c r="C23" s="35">
        <f>COUNTA('4 Cargas e Engines'!A7:A16)</f>
        <v>3</v>
      </c>
      <c r="D23" s="36">
        <v>2.0</v>
      </c>
      <c r="E23" s="37" t="str">
        <f t="shared" si="1"/>
        <v>OK</v>
      </c>
    </row>
    <row r="24" ht="24.0" customHeight="1">
      <c r="A24" s="33" t="s">
        <v>168</v>
      </c>
      <c r="B24" s="34" t="s">
        <v>169</v>
      </c>
      <c r="C24" s="35">
        <f>COUNTA('5 Pipeline'!A7:A21)</f>
        <v>8</v>
      </c>
      <c r="D24" s="36">
        <v>3.0</v>
      </c>
      <c r="E24" s="37" t="str">
        <f t="shared" si="1"/>
        <v>OK</v>
      </c>
    </row>
    <row r="25" ht="24.0" customHeight="1">
      <c r="A25" s="33" t="s">
        <v>170</v>
      </c>
      <c r="B25" s="34" t="s">
        <v>171</v>
      </c>
      <c r="C25" s="35">
        <f>COUNTA(Riscos!A7:A21)</f>
        <v>1</v>
      </c>
      <c r="D25" s="36">
        <v>3.0</v>
      </c>
      <c r="E25" s="37" t="str">
        <f t="shared" si="1"/>
        <v>Falta preencher</v>
      </c>
    </row>
    <row r="26" ht="24.0" customHeight="1">
      <c r="A26" s="33" t="s">
        <v>172</v>
      </c>
      <c r="B26" s="34" t="s">
        <v>173</v>
      </c>
      <c r="C26" s="35">
        <f>COUNTA(ADR!C6:C30)</f>
        <v>21</v>
      </c>
      <c r="D26" s="36">
        <v>10.0</v>
      </c>
      <c r="E26" s="37" t="str">
        <f t="shared" si="1"/>
        <v>OK</v>
      </c>
    </row>
    <row r="27" ht="15.75" customHeight="1">
      <c r="B27" s="38" t="s">
        <v>174</v>
      </c>
      <c r="C27" s="39" t="str">
        <f>COUNTIF(E20:E26,"OK")&amp;" de 7"</f>
        <v>5 de 7</v>
      </c>
    </row>
    <row r="28" ht="15.75" customHeight="1"/>
    <row r="29" ht="19.5" customHeight="1">
      <c r="A29" s="4" t="s">
        <v>175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E2"/>
    <mergeCell ref="A4:E4"/>
    <mergeCell ref="A12:E12"/>
    <mergeCell ref="A18:E18"/>
    <mergeCell ref="A29:E29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2.0"/>
    <col customWidth="1" min="3" max="3" width="40.0"/>
    <col customWidth="1" min="4" max="26" width="8.71"/>
  </cols>
  <sheetData>
    <row r="1" ht="30.0" customHeight="1">
      <c r="A1" s="1" t="s">
        <v>1</v>
      </c>
      <c r="B1" s="2"/>
      <c r="C1" s="3"/>
    </row>
    <row r="2" ht="24.0" customHeight="1">
      <c r="A2" s="4" t="s">
        <v>5</v>
      </c>
    </row>
    <row r="4" ht="25.5" customHeight="1">
      <c r="A4" s="5" t="s">
        <v>8</v>
      </c>
      <c r="B4" s="5" t="s">
        <v>11</v>
      </c>
      <c r="C4" s="5" t="s">
        <v>12</v>
      </c>
    </row>
    <row r="5" ht="30.0" customHeight="1">
      <c r="A5" s="8" t="s">
        <v>14</v>
      </c>
      <c r="B5" s="10" t="s">
        <v>24</v>
      </c>
      <c r="C5" s="12" t="s">
        <v>36</v>
      </c>
    </row>
    <row r="6" ht="30.0" customHeight="1">
      <c r="A6" s="8" t="s">
        <v>47</v>
      </c>
      <c r="B6" s="10" t="s">
        <v>50</v>
      </c>
      <c r="C6" s="12" t="s">
        <v>51</v>
      </c>
    </row>
    <row r="7" ht="30.0" customHeight="1">
      <c r="A7" s="8" t="s">
        <v>54</v>
      </c>
      <c r="B7" s="10" t="s">
        <v>56</v>
      </c>
      <c r="C7" s="12"/>
    </row>
    <row r="8" ht="30.0" customHeight="1">
      <c r="A8" s="8" t="s">
        <v>58</v>
      </c>
      <c r="B8" s="10" t="s">
        <v>60</v>
      </c>
      <c r="C8" s="12" t="s">
        <v>62</v>
      </c>
    </row>
    <row r="9">
      <c r="A9" s="8" t="s">
        <v>63</v>
      </c>
      <c r="B9" s="10" t="s">
        <v>68</v>
      </c>
      <c r="C9" s="12"/>
    </row>
    <row r="10" ht="30.0" customHeight="1">
      <c r="A10" s="8" t="s">
        <v>72</v>
      </c>
      <c r="B10" s="10" t="s">
        <v>75</v>
      </c>
      <c r="C10" s="12" t="s">
        <v>77</v>
      </c>
    </row>
    <row r="11" ht="30.0" customHeight="1">
      <c r="A11" s="8" t="s">
        <v>82</v>
      </c>
      <c r="B11" s="27" t="s">
        <v>86</v>
      </c>
      <c r="C11" s="12"/>
    </row>
    <row r="12" ht="30.0" customHeight="1">
      <c r="A12" s="8" t="s">
        <v>123</v>
      </c>
      <c r="B12" s="29">
        <v>46267.0</v>
      </c>
      <c r="C12" s="12"/>
    </row>
    <row r="13" ht="30.0" customHeight="1">
      <c r="A13" s="8" t="s">
        <v>134</v>
      </c>
      <c r="B13" s="10" t="s">
        <v>136</v>
      </c>
      <c r="C13" s="12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hyperlinks>
    <hyperlink r:id="rId1" ref="B11"/>
  </hyperlinks>
  <printOptions/>
  <pageMargins bottom="1.0" footer="0.0" header="0.0" left="0.75" right="0.75" top="1.0"/>
  <pageSetup fitToHeight="0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6.57"/>
    <col customWidth="1" min="3" max="3" width="18.0"/>
    <col customWidth="1" min="4" max="4" width="20.0"/>
    <col customWidth="1" min="5" max="5" width="26.0"/>
    <col customWidth="1" min="6" max="6" width="20.0"/>
    <col customWidth="1" min="7" max="7" width="16.0"/>
    <col customWidth="1" min="8" max="8" width="18.0"/>
    <col customWidth="1" min="9" max="10" width="12.0"/>
    <col customWidth="1" min="11" max="11" width="16.0"/>
    <col customWidth="1" min="12" max="12" width="14.0"/>
    <col customWidth="1" min="13" max="13" width="22.0"/>
    <col customWidth="1" min="14" max="14" width="16.0"/>
    <col customWidth="1" min="15" max="15" width="30.0"/>
    <col customWidth="1" min="16" max="26" width="8.71"/>
  </cols>
  <sheetData>
    <row r="1" ht="30.0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4.0" customHeight="1">
      <c r="A2" s="4" t="s">
        <v>9</v>
      </c>
    </row>
    <row r="4">
      <c r="A4" s="6" t="s">
        <v>10</v>
      </c>
    </row>
    <row r="5" ht="42.0" customHeight="1">
      <c r="A5" s="5" t="s">
        <v>13</v>
      </c>
      <c r="B5" s="5" t="s">
        <v>16</v>
      </c>
      <c r="C5" s="5" t="s">
        <v>18</v>
      </c>
      <c r="D5" s="5" t="s">
        <v>20</v>
      </c>
      <c r="E5" s="5" t="s">
        <v>22</v>
      </c>
      <c r="F5" s="5" t="s">
        <v>25</v>
      </c>
      <c r="G5" s="5" t="s">
        <v>27</v>
      </c>
      <c r="H5" s="5" t="s">
        <v>29</v>
      </c>
      <c r="I5" s="5" t="s">
        <v>31</v>
      </c>
      <c r="J5" s="5" t="s">
        <v>33</v>
      </c>
      <c r="K5" s="5" t="s">
        <v>34</v>
      </c>
      <c r="L5" s="5" t="s">
        <v>37</v>
      </c>
      <c r="M5" s="5" t="s">
        <v>39</v>
      </c>
      <c r="N5" s="5" t="s">
        <v>41</v>
      </c>
      <c r="O5" s="5" t="s">
        <v>44</v>
      </c>
    </row>
    <row r="6" ht="45.75" customHeight="1">
      <c r="A6" s="13" t="s">
        <v>48</v>
      </c>
      <c r="B6" s="13" t="s">
        <v>65</v>
      </c>
      <c r="C6" s="13" t="s">
        <v>66</v>
      </c>
      <c r="D6" s="13" t="s">
        <v>67</v>
      </c>
      <c r="E6" s="13" t="s">
        <v>69</v>
      </c>
      <c r="F6" s="13" t="s">
        <v>70</v>
      </c>
      <c r="G6" s="13" t="s">
        <v>71</v>
      </c>
      <c r="H6" s="13" t="s">
        <v>73</v>
      </c>
      <c r="I6" s="13" t="s">
        <v>74</v>
      </c>
      <c r="J6" s="13" t="s">
        <v>74</v>
      </c>
      <c r="K6" s="13" t="s">
        <v>76</v>
      </c>
      <c r="L6" s="13" t="s">
        <v>79</v>
      </c>
      <c r="M6" s="13" t="s">
        <v>80</v>
      </c>
      <c r="N6" s="13" t="s">
        <v>81</v>
      </c>
      <c r="O6" s="13" t="s">
        <v>83</v>
      </c>
    </row>
    <row r="7">
      <c r="A7" s="16" t="s">
        <v>88</v>
      </c>
      <c r="B7" s="18" t="s">
        <v>97</v>
      </c>
      <c r="C7" s="18" t="s">
        <v>99</v>
      </c>
      <c r="D7" s="18" t="s">
        <v>100</v>
      </c>
      <c r="E7" s="18" t="s">
        <v>101</v>
      </c>
      <c r="F7" s="18" t="s">
        <v>102</v>
      </c>
      <c r="G7" s="18" t="s">
        <v>103</v>
      </c>
      <c r="H7" s="18" t="s">
        <v>104</v>
      </c>
      <c r="I7" s="18" t="s">
        <v>105</v>
      </c>
      <c r="J7" s="18" t="s">
        <v>105</v>
      </c>
      <c r="K7" s="18" t="s">
        <v>107</v>
      </c>
      <c r="L7" s="18" t="s">
        <v>108</v>
      </c>
      <c r="M7" s="18" t="s">
        <v>103</v>
      </c>
      <c r="N7" s="18" t="s">
        <v>103</v>
      </c>
      <c r="O7" s="18" t="s">
        <v>109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6" t="s">
        <v>114</v>
      </c>
      <c r="B8" s="24" t="s">
        <v>115</v>
      </c>
      <c r="C8" s="18" t="s">
        <v>99</v>
      </c>
      <c r="D8" s="18" t="s">
        <v>100</v>
      </c>
      <c r="E8" s="18" t="s">
        <v>116</v>
      </c>
      <c r="F8" s="18" t="s">
        <v>102</v>
      </c>
      <c r="G8" s="18" t="s">
        <v>103</v>
      </c>
      <c r="H8" s="18" t="s">
        <v>117</v>
      </c>
      <c r="I8" s="18" t="s">
        <v>105</v>
      </c>
      <c r="J8" s="18" t="s">
        <v>107</v>
      </c>
      <c r="K8" s="18" t="s">
        <v>107</v>
      </c>
      <c r="L8" s="18" t="s">
        <v>103</v>
      </c>
      <c r="M8" s="18" t="s">
        <v>103</v>
      </c>
      <c r="N8" s="18" t="s">
        <v>103</v>
      </c>
      <c r="O8" s="18" t="s">
        <v>118</v>
      </c>
    </row>
    <row r="9">
      <c r="A9" s="28">
        <v>4.0</v>
      </c>
      <c r="B9" s="18" t="s">
        <v>124</v>
      </c>
      <c r="C9" s="18" t="s">
        <v>99</v>
      </c>
      <c r="D9" s="18" t="s">
        <v>100</v>
      </c>
      <c r="E9" s="18" t="s">
        <v>126</v>
      </c>
      <c r="F9" s="18" t="s">
        <v>128</v>
      </c>
      <c r="G9" s="18" t="s">
        <v>103</v>
      </c>
      <c r="H9" s="18" t="s">
        <v>104</v>
      </c>
      <c r="I9" s="18" t="s">
        <v>105</v>
      </c>
      <c r="J9" s="18" t="s">
        <v>107</v>
      </c>
      <c r="K9" s="18" t="s">
        <v>107</v>
      </c>
      <c r="L9" s="18" t="s">
        <v>129</v>
      </c>
      <c r="M9" s="18" t="s">
        <v>130</v>
      </c>
      <c r="N9" s="18" t="s">
        <v>131</v>
      </c>
      <c r="O9" s="18" t="s">
        <v>132</v>
      </c>
    </row>
    <row r="10" ht="33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ht="33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ht="33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ht="33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ht="33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ht="33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ht="33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ht="33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18" ht="33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ht="33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</row>
    <row r="20" ht="33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ht="33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ht="33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ht="33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ht="33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  <row r="25" ht="33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ht="33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ht="15.75" customHeight="1"/>
    <row r="28" ht="19.5" customHeight="1">
      <c r="A28" s="4" t="s">
        <v>160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:O4"/>
    <mergeCell ref="A28:O28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14.0"/>
    <col customWidth="1" min="4" max="4" width="16.0"/>
    <col customWidth="1" min="5" max="5" width="14.0"/>
    <col customWidth="1" min="6" max="6" width="18.0"/>
    <col customWidth="1" min="7" max="7" width="16.0"/>
    <col customWidth="1" min="8" max="8" width="24.0"/>
    <col customWidth="1" min="9" max="10" width="16.0"/>
    <col customWidth="1" min="11" max="11" width="34.0"/>
    <col customWidth="1" min="12" max="12" width="26.0"/>
    <col customWidth="1" min="13" max="26" width="8.71"/>
  </cols>
  <sheetData>
    <row r="1" ht="30.0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4" t="s">
        <v>7</v>
      </c>
    </row>
    <row r="4">
      <c r="A4" s="6" t="s">
        <v>10</v>
      </c>
    </row>
    <row r="5" ht="42.0" customHeight="1">
      <c r="A5" s="5" t="s">
        <v>13</v>
      </c>
      <c r="B5" s="5" t="s">
        <v>15</v>
      </c>
      <c r="C5" s="5" t="s">
        <v>17</v>
      </c>
      <c r="D5" s="5" t="s">
        <v>19</v>
      </c>
      <c r="E5" s="5" t="s">
        <v>23</v>
      </c>
      <c r="F5" s="5" t="s">
        <v>26</v>
      </c>
      <c r="G5" s="5" t="s">
        <v>30</v>
      </c>
      <c r="H5" s="5" t="s">
        <v>32</v>
      </c>
      <c r="I5" s="5" t="s">
        <v>35</v>
      </c>
      <c r="J5" s="5" t="s">
        <v>38</v>
      </c>
      <c r="K5" s="5" t="s">
        <v>43</v>
      </c>
      <c r="L5" s="5" t="s">
        <v>46</v>
      </c>
    </row>
    <row r="6" ht="45.75" customHeight="1">
      <c r="A6" s="14" t="s">
        <v>48</v>
      </c>
      <c r="B6" s="13" t="s">
        <v>78</v>
      </c>
      <c r="C6" s="13" t="s">
        <v>48</v>
      </c>
      <c r="D6" s="13" t="s">
        <v>84</v>
      </c>
      <c r="E6" s="13" t="s">
        <v>87</v>
      </c>
      <c r="F6" s="13" t="s">
        <v>89</v>
      </c>
      <c r="G6" s="13" t="s">
        <v>90</v>
      </c>
      <c r="H6" s="13" t="s">
        <v>91</v>
      </c>
      <c r="I6" s="13" t="s">
        <v>92</v>
      </c>
      <c r="J6" s="13" t="s">
        <v>93</v>
      </c>
      <c r="K6" s="13" t="s">
        <v>94</v>
      </c>
      <c r="L6" s="13" t="s">
        <v>96</v>
      </c>
    </row>
    <row r="7">
      <c r="A7" s="20" t="s">
        <v>88</v>
      </c>
      <c r="B7" s="23" t="s">
        <v>111</v>
      </c>
      <c r="C7" s="26">
        <v>2.0</v>
      </c>
      <c r="D7" s="23" t="s">
        <v>102</v>
      </c>
      <c r="E7" s="23" t="s">
        <v>87</v>
      </c>
      <c r="F7" s="23" t="s">
        <v>89</v>
      </c>
      <c r="G7" s="23" t="s">
        <v>103</v>
      </c>
      <c r="H7" s="23" t="s">
        <v>121</v>
      </c>
      <c r="I7" s="23" t="s">
        <v>122</v>
      </c>
      <c r="J7" s="23" t="s">
        <v>93</v>
      </c>
      <c r="K7" s="23" t="s">
        <v>125</v>
      </c>
      <c r="L7" s="23" t="s">
        <v>127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20" t="s">
        <v>114</v>
      </c>
      <c r="B8" s="23" t="s">
        <v>115</v>
      </c>
      <c r="C8" s="26">
        <v>3.0</v>
      </c>
      <c r="D8" s="23" t="s">
        <v>102</v>
      </c>
      <c r="E8" s="23" t="s">
        <v>87</v>
      </c>
      <c r="F8" s="23" t="s">
        <v>89</v>
      </c>
      <c r="G8" s="23" t="s">
        <v>103</v>
      </c>
      <c r="H8" s="23" t="s">
        <v>142</v>
      </c>
      <c r="I8" s="23" t="s">
        <v>122</v>
      </c>
      <c r="J8" s="23" t="s">
        <v>93</v>
      </c>
      <c r="K8" s="23" t="s">
        <v>143</v>
      </c>
      <c r="L8" s="23" t="s">
        <v>144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0" t="s">
        <v>146</v>
      </c>
      <c r="B9" s="23" t="s">
        <v>147</v>
      </c>
      <c r="C9" s="26">
        <v>4.0</v>
      </c>
      <c r="D9" s="23" t="s">
        <v>128</v>
      </c>
      <c r="E9" s="23" t="s">
        <v>87</v>
      </c>
      <c r="F9" s="23" t="s">
        <v>89</v>
      </c>
      <c r="G9" s="23" t="s">
        <v>103</v>
      </c>
      <c r="H9" s="23" t="s">
        <v>148</v>
      </c>
      <c r="I9" s="23" t="s">
        <v>122</v>
      </c>
      <c r="J9" s="23" t="s">
        <v>93</v>
      </c>
      <c r="K9" s="23" t="s">
        <v>149</v>
      </c>
      <c r="L9" s="23" t="s">
        <v>150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0" t="s">
        <v>151</v>
      </c>
      <c r="B10" s="23" t="s">
        <v>152</v>
      </c>
      <c r="C10" s="26" t="s">
        <v>153</v>
      </c>
      <c r="D10" s="23" t="s">
        <v>93</v>
      </c>
      <c r="E10" s="23" t="s">
        <v>154</v>
      </c>
      <c r="F10" s="23" t="s">
        <v>155</v>
      </c>
      <c r="G10" s="23" t="s">
        <v>103</v>
      </c>
      <c r="H10" s="23" t="s">
        <v>156</v>
      </c>
      <c r="I10" s="23" t="s">
        <v>157</v>
      </c>
      <c r="J10" s="23" t="s">
        <v>93</v>
      </c>
      <c r="K10" s="23" t="s">
        <v>158</v>
      </c>
      <c r="L10" s="23" t="s">
        <v>159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33.75" customHeight="1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ht="33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ht="33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ht="33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ht="33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</row>
    <row r="16" ht="33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ht="33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ht="33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ht="33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ht="33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ht="33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ht="15.75" customHeight="1"/>
    <row r="23" ht="19.5" customHeight="1">
      <c r="A23" s="4" t="s">
        <v>167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4:L4"/>
    <mergeCell ref="A23:L23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6.43"/>
    <col customWidth="1" min="2" max="2" width="22.0"/>
    <col customWidth="1" min="3" max="3" width="26.0"/>
    <col customWidth="1" min="4" max="4" width="30.0"/>
    <col customWidth="1" min="5" max="5" width="28.0"/>
    <col customWidth="1" min="6" max="6" width="18.0"/>
    <col customWidth="1" min="7" max="7" width="24.0"/>
    <col customWidth="1" min="8" max="8" width="20.0"/>
    <col customWidth="1" min="9" max="9" width="22.0"/>
    <col customWidth="1" min="10" max="10" width="36.0"/>
    <col customWidth="1" min="11" max="26" width="8.71"/>
  </cols>
  <sheetData>
    <row r="1" ht="30.0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3"/>
    </row>
    <row r="2" ht="24.0" customHeight="1">
      <c r="A2" s="4" t="s">
        <v>177</v>
      </c>
    </row>
    <row r="4">
      <c r="A4" s="6" t="s">
        <v>10</v>
      </c>
    </row>
    <row r="5" ht="42.0" customHeight="1">
      <c r="A5" s="5" t="s">
        <v>13</v>
      </c>
      <c r="B5" s="5" t="s">
        <v>178</v>
      </c>
      <c r="C5" s="5" t="s">
        <v>179</v>
      </c>
      <c r="D5" s="5" t="s">
        <v>180</v>
      </c>
      <c r="E5" s="5" t="s">
        <v>181</v>
      </c>
      <c r="F5" s="5" t="s">
        <v>182</v>
      </c>
      <c r="G5" s="5" t="s">
        <v>183</v>
      </c>
      <c r="H5" s="5" t="s">
        <v>184</v>
      </c>
      <c r="I5" s="5" t="s">
        <v>185</v>
      </c>
      <c r="J5" s="5" t="s">
        <v>43</v>
      </c>
    </row>
    <row r="6" ht="45.75" customHeight="1">
      <c r="A6" s="14" t="s">
        <v>48</v>
      </c>
      <c r="B6" s="13" t="s">
        <v>186</v>
      </c>
      <c r="C6" s="13" t="s">
        <v>187</v>
      </c>
      <c r="D6" s="13" t="s">
        <v>188</v>
      </c>
      <c r="E6" s="13" t="s">
        <v>189</v>
      </c>
      <c r="F6" s="13" t="s">
        <v>190</v>
      </c>
      <c r="G6" s="13" t="s">
        <v>191</v>
      </c>
      <c r="H6" s="13" t="s">
        <v>192</v>
      </c>
      <c r="I6" s="13" t="s">
        <v>193</v>
      </c>
      <c r="J6" s="13" t="s">
        <v>194</v>
      </c>
    </row>
    <row r="7">
      <c r="A7" s="20" t="s">
        <v>88</v>
      </c>
      <c r="B7" s="23" t="s">
        <v>195</v>
      </c>
      <c r="C7" s="23" t="s">
        <v>196</v>
      </c>
      <c r="D7" s="23" t="s">
        <v>197</v>
      </c>
      <c r="E7" s="23" t="s">
        <v>198</v>
      </c>
      <c r="F7" s="23" t="s">
        <v>199</v>
      </c>
      <c r="G7" s="23" t="s">
        <v>191</v>
      </c>
      <c r="H7" s="23" t="s">
        <v>200</v>
      </c>
      <c r="I7" s="23" t="s">
        <v>201</v>
      </c>
      <c r="J7" s="23" t="s">
        <v>202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20" t="s">
        <v>114</v>
      </c>
      <c r="B8" s="23" t="s">
        <v>124</v>
      </c>
      <c r="C8" s="23" t="s">
        <v>203</v>
      </c>
      <c r="D8" s="23" t="s">
        <v>204</v>
      </c>
      <c r="E8" s="23" t="s">
        <v>205</v>
      </c>
      <c r="F8" s="23" t="s">
        <v>206</v>
      </c>
      <c r="G8" s="23" t="s">
        <v>191</v>
      </c>
      <c r="H8" s="23" t="s">
        <v>207</v>
      </c>
      <c r="I8" s="23" t="s">
        <v>201</v>
      </c>
      <c r="J8" s="23" t="s">
        <v>208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0" t="s">
        <v>146</v>
      </c>
      <c r="B9" s="23" t="s">
        <v>209</v>
      </c>
      <c r="C9" s="23" t="s">
        <v>210</v>
      </c>
      <c r="D9" s="23" t="s">
        <v>211</v>
      </c>
      <c r="E9" s="23" t="s">
        <v>212</v>
      </c>
      <c r="F9" s="23" t="s">
        <v>213</v>
      </c>
      <c r="G9" s="23" t="s">
        <v>191</v>
      </c>
      <c r="H9" s="23" t="s">
        <v>200</v>
      </c>
      <c r="I9" s="23" t="s">
        <v>201</v>
      </c>
      <c r="J9" s="23" t="s">
        <v>214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0" t="s">
        <v>151</v>
      </c>
      <c r="B10" s="23" t="s">
        <v>215</v>
      </c>
      <c r="C10" s="23" t="s">
        <v>216</v>
      </c>
      <c r="D10" s="23" t="s">
        <v>217</v>
      </c>
      <c r="E10" s="23" t="s">
        <v>218</v>
      </c>
      <c r="F10" s="23" t="s">
        <v>219</v>
      </c>
      <c r="G10" s="23" t="s">
        <v>191</v>
      </c>
      <c r="H10" s="23" t="s">
        <v>200</v>
      </c>
      <c r="I10" s="23" t="s">
        <v>201</v>
      </c>
      <c r="J10" s="23" t="s">
        <v>220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0" t="s">
        <v>221</v>
      </c>
      <c r="B11" s="23" t="s">
        <v>222</v>
      </c>
      <c r="C11" s="23" t="s">
        <v>223</v>
      </c>
      <c r="D11" s="23" t="s">
        <v>224</v>
      </c>
      <c r="E11" s="23" t="s">
        <v>225</v>
      </c>
      <c r="F11" s="23" t="s">
        <v>226</v>
      </c>
      <c r="G11" s="23" t="s">
        <v>191</v>
      </c>
      <c r="H11" s="23" t="s">
        <v>200</v>
      </c>
      <c r="I11" s="23" t="s">
        <v>201</v>
      </c>
      <c r="J11" s="23" t="s">
        <v>227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0" t="s">
        <v>228</v>
      </c>
      <c r="B12" s="23" t="s">
        <v>229</v>
      </c>
      <c r="C12" s="23" t="s">
        <v>230</v>
      </c>
      <c r="D12" s="23" t="s">
        <v>231</v>
      </c>
      <c r="E12" s="23" t="s">
        <v>232</v>
      </c>
      <c r="F12" s="23" t="s">
        <v>233</v>
      </c>
      <c r="G12" s="23" t="s">
        <v>191</v>
      </c>
      <c r="H12" s="23" t="s">
        <v>234</v>
      </c>
      <c r="I12" s="23" t="s">
        <v>201</v>
      </c>
      <c r="J12" s="23" t="s">
        <v>235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0" t="s">
        <v>236</v>
      </c>
      <c r="B13" s="23" t="s">
        <v>237</v>
      </c>
      <c r="C13" s="23" t="s">
        <v>238</v>
      </c>
      <c r="D13" s="23" t="s">
        <v>239</v>
      </c>
      <c r="E13" s="23" t="s">
        <v>240</v>
      </c>
      <c r="F13" s="23" t="s">
        <v>241</v>
      </c>
      <c r="G13" s="23" t="s">
        <v>191</v>
      </c>
      <c r="H13" s="23" t="s">
        <v>242</v>
      </c>
      <c r="I13" s="23" t="s">
        <v>243</v>
      </c>
      <c r="J13" s="23" t="s">
        <v>244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33.75" customHeight="1">
      <c r="A14" s="32"/>
      <c r="B14" s="31"/>
      <c r="C14" s="31"/>
      <c r="D14" s="31"/>
      <c r="E14" s="31"/>
      <c r="F14" s="31"/>
      <c r="G14" s="31"/>
      <c r="H14" s="31"/>
      <c r="I14" s="31"/>
      <c r="J14" s="31"/>
    </row>
    <row r="15" ht="33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</row>
    <row r="16" ht="33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</row>
    <row r="17" ht="33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</row>
    <row r="18" ht="33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ht="33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 ht="33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ht="33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 ht="15.75" customHeight="1"/>
    <row r="23" ht="21.75" customHeight="1">
      <c r="A23" s="7" t="s">
        <v>246</v>
      </c>
      <c r="B23" s="2"/>
      <c r="C23" s="2"/>
      <c r="D23" s="2"/>
      <c r="E23" s="2"/>
      <c r="F23" s="2"/>
      <c r="G23" s="2"/>
      <c r="H23" s="2"/>
      <c r="I23" s="2"/>
      <c r="J23" s="3"/>
    </row>
    <row r="24" ht="37.5" customHeight="1">
      <c r="A24" s="40" t="s">
        <v>13</v>
      </c>
      <c r="B24" s="40" t="s">
        <v>248</v>
      </c>
      <c r="C24" s="40" t="s">
        <v>249</v>
      </c>
      <c r="D24" s="40" t="s">
        <v>250</v>
      </c>
      <c r="E24" s="40" t="s">
        <v>251</v>
      </c>
      <c r="F24" s="40" t="s">
        <v>252</v>
      </c>
      <c r="G24" s="40" t="s">
        <v>253</v>
      </c>
      <c r="H24" s="40" t="s">
        <v>254</v>
      </c>
      <c r="I24" s="40" t="s">
        <v>255</v>
      </c>
      <c r="J24" s="40" t="s">
        <v>256</v>
      </c>
    </row>
    <row r="25" ht="45.75" customHeight="1">
      <c r="A25" s="14" t="s">
        <v>48</v>
      </c>
      <c r="B25" s="14" t="s">
        <v>259</v>
      </c>
      <c r="C25" s="14" t="s">
        <v>261</v>
      </c>
      <c r="D25" s="14" t="s">
        <v>262</v>
      </c>
      <c r="E25" s="14" t="s">
        <v>264</v>
      </c>
      <c r="F25" s="14" t="s">
        <v>191</v>
      </c>
      <c r="G25" s="14" t="s">
        <v>266</v>
      </c>
      <c r="H25" s="14" t="s">
        <v>267</v>
      </c>
      <c r="I25" s="14" t="s">
        <v>268</v>
      </c>
      <c r="J25" s="14" t="s">
        <v>270</v>
      </c>
    </row>
    <row r="26" ht="33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ht="33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ht="33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ht="33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 ht="33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ht="33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</row>
    <row r="32" ht="33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</row>
    <row r="33" ht="33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</row>
    <row r="34" ht="33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</row>
    <row r="35" ht="33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</row>
    <row r="36" ht="15.75" customHeight="1"/>
    <row r="37" ht="19.5" customHeight="1">
      <c r="A37" s="4" t="s">
        <v>307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2:J2"/>
    <mergeCell ref="A4:J4"/>
    <mergeCell ref="A23:J23"/>
    <mergeCell ref="A37:J37"/>
  </mergeCell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6.0"/>
    <col customWidth="1" min="4" max="4" width="16.0"/>
    <col customWidth="1" min="5" max="5" width="20.0"/>
    <col customWidth="1" min="6" max="6" width="14.0"/>
    <col customWidth="1" min="7" max="7" width="16.0"/>
    <col customWidth="1" min="8" max="8" width="18.0"/>
    <col customWidth="1" min="9" max="10" width="22.0"/>
    <col customWidth="1" min="11" max="11" width="24.0"/>
    <col customWidth="1" min="12" max="12" width="16.0"/>
    <col customWidth="1" min="13" max="13" width="34.0"/>
    <col customWidth="1" min="14" max="26" width="8.71"/>
  </cols>
  <sheetData>
    <row r="1" ht="30.0" customHeight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4.0" customHeight="1">
      <c r="A2" s="4" t="s">
        <v>247</v>
      </c>
    </row>
    <row r="4">
      <c r="A4" s="6" t="s">
        <v>10</v>
      </c>
    </row>
    <row r="5" ht="42.0" customHeight="1">
      <c r="A5" s="5" t="s">
        <v>13</v>
      </c>
      <c r="B5" s="5" t="s">
        <v>257</v>
      </c>
      <c r="C5" s="5" t="s">
        <v>258</v>
      </c>
      <c r="D5" s="5" t="s">
        <v>260</v>
      </c>
      <c r="E5" s="5" t="s">
        <v>263</v>
      </c>
      <c r="F5" s="5" t="s">
        <v>265</v>
      </c>
      <c r="G5" s="5" t="s">
        <v>269</v>
      </c>
      <c r="H5" s="5" t="s">
        <v>271</v>
      </c>
      <c r="I5" s="5" t="s">
        <v>272</v>
      </c>
      <c r="J5" s="5" t="s">
        <v>273</v>
      </c>
      <c r="K5" s="5" t="s">
        <v>274</v>
      </c>
      <c r="L5" s="5" t="s">
        <v>275</v>
      </c>
      <c r="M5" s="5" t="s">
        <v>43</v>
      </c>
    </row>
    <row r="6" ht="45.75" customHeight="1">
      <c r="A6" s="13" t="s">
        <v>48</v>
      </c>
      <c r="B6" s="13" t="s">
        <v>276</v>
      </c>
      <c r="C6" s="13" t="s">
        <v>277</v>
      </c>
      <c r="D6" s="13" t="s">
        <v>278</v>
      </c>
      <c r="E6" s="13" t="s">
        <v>279</v>
      </c>
      <c r="F6" s="13" t="s">
        <v>89</v>
      </c>
      <c r="G6" s="13" t="s">
        <v>280</v>
      </c>
      <c r="H6" s="13" t="s">
        <v>281</v>
      </c>
      <c r="I6" s="13" t="s">
        <v>282</v>
      </c>
      <c r="J6" s="13" t="s">
        <v>283</v>
      </c>
      <c r="K6" s="13" t="s">
        <v>284</v>
      </c>
      <c r="L6" s="13" t="s">
        <v>285</v>
      </c>
      <c r="M6" s="13" t="s">
        <v>286</v>
      </c>
    </row>
    <row r="7" ht="33.75" customHeight="1">
      <c r="A7" s="41" t="s">
        <v>88</v>
      </c>
      <c r="B7" s="23" t="s">
        <v>276</v>
      </c>
      <c r="C7" s="23" t="s">
        <v>287</v>
      </c>
      <c r="D7" s="23" t="s">
        <v>278</v>
      </c>
      <c r="E7" s="23" t="s">
        <v>279</v>
      </c>
      <c r="F7" s="23" t="s">
        <v>89</v>
      </c>
      <c r="G7" s="23" t="s">
        <v>288</v>
      </c>
      <c r="H7" s="23" t="s">
        <v>76</v>
      </c>
      <c r="I7" s="23" t="s">
        <v>289</v>
      </c>
      <c r="J7" s="23" t="s">
        <v>290</v>
      </c>
      <c r="K7" s="23" t="s">
        <v>284</v>
      </c>
      <c r="L7" s="23" t="s">
        <v>103</v>
      </c>
      <c r="M7" s="23" t="s">
        <v>291</v>
      </c>
    </row>
    <row r="8" ht="33.75" customHeight="1">
      <c r="A8" s="41" t="s">
        <v>114</v>
      </c>
      <c r="B8" s="23" t="s">
        <v>292</v>
      </c>
      <c r="C8" s="23" t="s">
        <v>293</v>
      </c>
      <c r="D8" s="23" t="s">
        <v>294</v>
      </c>
      <c r="E8" s="23" t="s">
        <v>279</v>
      </c>
      <c r="F8" s="23" t="s">
        <v>89</v>
      </c>
      <c r="G8" s="23" t="s">
        <v>295</v>
      </c>
      <c r="H8" s="23" t="s">
        <v>74</v>
      </c>
      <c r="I8" s="23" t="s">
        <v>296</v>
      </c>
      <c r="J8" s="23" t="s">
        <v>297</v>
      </c>
      <c r="K8" s="23" t="s">
        <v>298</v>
      </c>
      <c r="L8" s="23" t="s">
        <v>103</v>
      </c>
      <c r="M8" s="23" t="s">
        <v>299</v>
      </c>
    </row>
    <row r="9" ht="33.75" customHeight="1">
      <c r="A9" s="41" t="s">
        <v>146</v>
      </c>
      <c r="B9" s="23" t="s">
        <v>300</v>
      </c>
      <c r="C9" s="23" t="s">
        <v>301</v>
      </c>
      <c r="D9" s="23" t="s">
        <v>294</v>
      </c>
      <c r="E9" s="23" t="s">
        <v>302</v>
      </c>
      <c r="F9" s="23" t="s">
        <v>303</v>
      </c>
      <c r="G9" s="23" t="s">
        <v>304</v>
      </c>
      <c r="H9" s="23" t="s">
        <v>74</v>
      </c>
      <c r="I9" s="23" t="s">
        <v>305</v>
      </c>
      <c r="J9" s="23" t="s">
        <v>306</v>
      </c>
      <c r="K9" s="23" t="s">
        <v>308</v>
      </c>
      <c r="L9" s="23" t="s">
        <v>103</v>
      </c>
      <c r="M9" s="23" t="s">
        <v>309</v>
      </c>
    </row>
    <row r="10" ht="33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ht="33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ht="33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ht="33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ht="33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ht="33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ht="33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</row>
    <row r="18" ht="19.5" customHeight="1">
      <c r="A18" s="4" t="s">
        <v>325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2:M2"/>
    <mergeCell ref="A4:M4"/>
    <mergeCell ref="A18:M18"/>
  </mergeCells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4" width="20.0"/>
    <col customWidth="1" min="5" max="5" width="34.0"/>
    <col customWidth="1" min="6" max="6" width="12.0"/>
    <col customWidth="1" min="7" max="7" width="14.0"/>
    <col customWidth="1" min="8" max="8" width="18.0"/>
    <col customWidth="1" min="9" max="9" width="26.0"/>
    <col customWidth="1" min="10" max="10" width="18.0"/>
    <col customWidth="1" min="11" max="11" width="16.0"/>
    <col customWidth="1" min="12" max="12" width="28.0"/>
    <col customWidth="1" min="13" max="26" width="8.71"/>
  </cols>
  <sheetData>
    <row r="1" ht="30.0" customHeight="1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4" t="s">
        <v>311</v>
      </c>
    </row>
    <row r="4">
      <c r="A4" s="6" t="s">
        <v>10</v>
      </c>
    </row>
    <row r="5" ht="42.0" customHeight="1">
      <c r="A5" s="5" t="s">
        <v>13</v>
      </c>
      <c r="B5" s="5" t="s">
        <v>312</v>
      </c>
      <c r="C5" s="5" t="s">
        <v>313</v>
      </c>
      <c r="D5" s="5" t="s">
        <v>314</v>
      </c>
      <c r="E5" s="5" t="s">
        <v>315</v>
      </c>
      <c r="F5" s="5" t="s">
        <v>316</v>
      </c>
      <c r="G5" s="5" t="s">
        <v>317</v>
      </c>
      <c r="H5" s="5" t="s">
        <v>318</v>
      </c>
      <c r="I5" s="5" t="s">
        <v>319</v>
      </c>
      <c r="J5" s="5" t="s">
        <v>320</v>
      </c>
      <c r="K5" s="5" t="s">
        <v>321</v>
      </c>
      <c r="L5" s="5" t="s">
        <v>322</v>
      </c>
    </row>
    <row r="6" ht="45.75" customHeight="1">
      <c r="A6" s="14" t="s">
        <v>48</v>
      </c>
      <c r="B6" s="13" t="s">
        <v>323</v>
      </c>
      <c r="C6" s="13" t="s">
        <v>324</v>
      </c>
      <c r="D6" s="13" t="s">
        <v>326</v>
      </c>
      <c r="E6" s="13" t="s">
        <v>327</v>
      </c>
      <c r="F6" s="13" t="s">
        <v>328</v>
      </c>
      <c r="G6" s="13" t="s">
        <v>329</v>
      </c>
      <c r="H6" s="13" t="s">
        <v>330</v>
      </c>
      <c r="I6" s="13" t="s">
        <v>331</v>
      </c>
      <c r="J6" s="13" t="s">
        <v>332</v>
      </c>
      <c r="K6" s="13" t="s">
        <v>333</v>
      </c>
      <c r="L6" s="13" t="s">
        <v>334</v>
      </c>
    </row>
    <row r="7" ht="33.75" customHeight="1">
      <c r="A7" s="20" t="s">
        <v>88</v>
      </c>
      <c r="B7" s="23" t="s">
        <v>335</v>
      </c>
      <c r="C7" s="23" t="s">
        <v>336</v>
      </c>
      <c r="D7" s="23" t="s">
        <v>337</v>
      </c>
      <c r="E7" s="23" t="s">
        <v>338</v>
      </c>
      <c r="F7" s="23" t="s">
        <v>339</v>
      </c>
      <c r="G7" s="23" t="s">
        <v>340</v>
      </c>
      <c r="H7" s="23" t="s">
        <v>341</v>
      </c>
      <c r="I7" s="23" t="s">
        <v>342</v>
      </c>
      <c r="J7" s="23" t="s">
        <v>343</v>
      </c>
      <c r="K7" s="23" t="s">
        <v>344</v>
      </c>
      <c r="L7" s="23" t="s">
        <v>345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33.75" customHeight="1">
      <c r="A8" s="20" t="s">
        <v>114</v>
      </c>
      <c r="B8" s="23" t="s">
        <v>346</v>
      </c>
      <c r="C8" s="23" t="s">
        <v>347</v>
      </c>
      <c r="D8" s="23" t="s">
        <v>337</v>
      </c>
      <c r="E8" s="23" t="s">
        <v>348</v>
      </c>
      <c r="F8" s="23" t="s">
        <v>339</v>
      </c>
      <c r="G8" s="23" t="s">
        <v>340</v>
      </c>
      <c r="H8" s="23" t="s">
        <v>341</v>
      </c>
      <c r="I8" s="23" t="s">
        <v>349</v>
      </c>
      <c r="J8" s="23" t="s">
        <v>350</v>
      </c>
      <c r="K8" s="23" t="s">
        <v>344</v>
      </c>
      <c r="L8" s="23" t="s">
        <v>351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33.75" customHeight="1">
      <c r="A9" s="20" t="s">
        <v>146</v>
      </c>
      <c r="B9" s="23" t="s">
        <v>352</v>
      </c>
      <c r="C9" s="23" t="s">
        <v>353</v>
      </c>
      <c r="D9" s="23" t="s">
        <v>337</v>
      </c>
      <c r="E9" s="23" t="s">
        <v>354</v>
      </c>
      <c r="F9" s="23" t="s">
        <v>339</v>
      </c>
      <c r="G9" s="23" t="s">
        <v>340</v>
      </c>
      <c r="H9" s="23" t="s">
        <v>355</v>
      </c>
      <c r="I9" s="23" t="s">
        <v>356</v>
      </c>
      <c r="J9" s="23" t="s">
        <v>350</v>
      </c>
      <c r="K9" s="23" t="s">
        <v>344</v>
      </c>
      <c r="L9" s="23" t="s">
        <v>357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33.75" customHeight="1">
      <c r="A10" s="20" t="s">
        <v>151</v>
      </c>
      <c r="B10" s="23" t="s">
        <v>358</v>
      </c>
      <c r="C10" s="23" t="s">
        <v>359</v>
      </c>
      <c r="D10" s="23" t="s">
        <v>360</v>
      </c>
      <c r="E10" s="23" t="s">
        <v>361</v>
      </c>
      <c r="F10" s="23" t="s">
        <v>328</v>
      </c>
      <c r="G10" s="23" t="s">
        <v>340</v>
      </c>
      <c r="H10" s="23" t="s">
        <v>362</v>
      </c>
      <c r="I10" s="23" t="s">
        <v>363</v>
      </c>
      <c r="J10" s="23" t="s">
        <v>364</v>
      </c>
      <c r="K10" s="23" t="s">
        <v>344</v>
      </c>
      <c r="L10" s="23" t="s">
        <v>365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33.75" customHeight="1">
      <c r="A11" s="20" t="s">
        <v>221</v>
      </c>
      <c r="B11" s="23" t="s">
        <v>366</v>
      </c>
      <c r="C11" s="23" t="s">
        <v>367</v>
      </c>
      <c r="D11" s="23" t="s">
        <v>368</v>
      </c>
      <c r="E11" s="23" t="s">
        <v>369</v>
      </c>
      <c r="F11" s="23" t="s">
        <v>328</v>
      </c>
      <c r="G11" s="23" t="s">
        <v>340</v>
      </c>
      <c r="H11" s="23" t="s">
        <v>362</v>
      </c>
      <c r="I11" s="23" t="s">
        <v>356</v>
      </c>
      <c r="J11" s="23" t="s">
        <v>370</v>
      </c>
      <c r="K11" s="23" t="s">
        <v>344</v>
      </c>
      <c r="L11" s="23" t="s">
        <v>371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33.75" customHeight="1">
      <c r="A12" s="20" t="s">
        <v>228</v>
      </c>
      <c r="B12" s="23" t="s">
        <v>372</v>
      </c>
      <c r="C12" s="23" t="s">
        <v>373</v>
      </c>
      <c r="D12" s="23" t="s">
        <v>374</v>
      </c>
      <c r="E12" s="23" t="s">
        <v>375</v>
      </c>
      <c r="F12" s="23" t="s">
        <v>339</v>
      </c>
      <c r="G12" s="23" t="s">
        <v>340</v>
      </c>
      <c r="H12" s="23" t="s">
        <v>376</v>
      </c>
      <c r="I12" s="23" t="s">
        <v>356</v>
      </c>
      <c r="J12" s="23" t="s">
        <v>377</v>
      </c>
      <c r="K12" s="23" t="s">
        <v>344</v>
      </c>
      <c r="L12" s="23" t="s">
        <v>378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33.75" customHeight="1">
      <c r="A13" s="20" t="s">
        <v>236</v>
      </c>
      <c r="B13" s="23" t="s">
        <v>379</v>
      </c>
      <c r="C13" s="23" t="s">
        <v>380</v>
      </c>
      <c r="D13" s="23" t="s">
        <v>381</v>
      </c>
      <c r="E13" s="23" t="s">
        <v>382</v>
      </c>
      <c r="F13" s="23" t="s">
        <v>339</v>
      </c>
      <c r="G13" s="23" t="s">
        <v>340</v>
      </c>
      <c r="H13" s="23" t="s">
        <v>383</v>
      </c>
      <c r="I13" s="23" t="s">
        <v>356</v>
      </c>
      <c r="J13" s="23" t="s">
        <v>384</v>
      </c>
      <c r="K13" s="23" t="s">
        <v>344</v>
      </c>
      <c r="L13" s="23" t="s">
        <v>385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33.75" customHeight="1">
      <c r="A14" s="20" t="s">
        <v>386</v>
      </c>
      <c r="B14" s="23" t="s">
        <v>387</v>
      </c>
      <c r="C14" s="23" t="s">
        <v>388</v>
      </c>
      <c r="D14" s="23" t="s">
        <v>389</v>
      </c>
      <c r="E14" s="23" t="s">
        <v>390</v>
      </c>
      <c r="F14" s="23" t="s">
        <v>130</v>
      </c>
      <c r="G14" s="23" t="s">
        <v>391</v>
      </c>
      <c r="H14" s="23" t="s">
        <v>392</v>
      </c>
      <c r="I14" s="23" t="s">
        <v>393</v>
      </c>
      <c r="J14" s="23" t="s">
        <v>394</v>
      </c>
      <c r="K14" s="23" t="s">
        <v>344</v>
      </c>
      <c r="L14" s="23" t="s">
        <v>395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33.75" customHeight="1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ht="33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ht="33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ht="33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ht="33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ht="33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ht="33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ht="15.75" customHeight="1"/>
    <row r="23" ht="19.5" customHeight="1">
      <c r="A23" s="4" t="s">
        <v>396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4:L4"/>
    <mergeCell ref="A23:L23"/>
  </mergeCells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70.0"/>
    <col customWidth="1" min="4" max="4" width="44.0"/>
    <col customWidth="1" min="5" max="26" width="8.71"/>
  </cols>
  <sheetData>
    <row r="1" ht="30.0" customHeight="1">
      <c r="A1" s="1" t="s">
        <v>397</v>
      </c>
      <c r="B1" s="2"/>
      <c r="C1" s="2"/>
      <c r="D1" s="3"/>
    </row>
    <row r="2" ht="24.0" customHeight="1">
      <c r="A2" s="4" t="s">
        <v>398</v>
      </c>
    </row>
    <row r="4">
      <c r="A4" s="6" t="s">
        <v>399</v>
      </c>
    </row>
    <row r="5" ht="25.5" customHeight="1">
      <c r="A5" s="5" t="s">
        <v>400</v>
      </c>
      <c r="B5" s="5" t="s">
        <v>401</v>
      </c>
      <c r="C5" s="43" t="s">
        <v>11</v>
      </c>
      <c r="D5" s="5" t="s">
        <v>402</v>
      </c>
    </row>
    <row r="6" ht="39.75" customHeight="1">
      <c r="A6" s="44">
        <v>1.0</v>
      </c>
      <c r="B6" s="45" t="s">
        <v>403</v>
      </c>
      <c r="C6" s="46" t="s">
        <v>404</v>
      </c>
      <c r="D6" s="47" t="s">
        <v>405</v>
      </c>
    </row>
    <row r="7" ht="39.75" customHeight="1">
      <c r="A7" s="44">
        <v>2.0</v>
      </c>
      <c r="B7" s="45" t="s">
        <v>406</v>
      </c>
      <c r="C7" s="48">
        <v>46267.0</v>
      </c>
      <c r="D7" s="47" t="s">
        <v>407</v>
      </c>
    </row>
    <row r="8" ht="39.75" customHeight="1">
      <c r="A8" s="44">
        <v>3.0</v>
      </c>
      <c r="B8" s="45" t="s">
        <v>408</v>
      </c>
      <c r="C8" s="46" t="s">
        <v>409</v>
      </c>
      <c r="D8" s="47" t="s">
        <v>410</v>
      </c>
    </row>
    <row r="9">
      <c r="A9" s="44">
        <v>4.0</v>
      </c>
      <c r="B9" s="45" t="s">
        <v>411</v>
      </c>
      <c r="C9" s="46" t="s">
        <v>412</v>
      </c>
      <c r="D9" s="47" t="s">
        <v>413</v>
      </c>
    </row>
    <row r="10">
      <c r="A10" s="44">
        <v>5.0</v>
      </c>
      <c r="B10" s="45" t="s">
        <v>414</v>
      </c>
      <c r="C10" s="46" t="s">
        <v>415</v>
      </c>
      <c r="D10" s="47" t="s">
        <v>416</v>
      </c>
    </row>
    <row r="11">
      <c r="A11" s="44">
        <v>6.0</v>
      </c>
      <c r="B11" s="45" t="s">
        <v>417</v>
      </c>
      <c r="C11" s="46" t="s">
        <v>418</v>
      </c>
      <c r="D11" s="47" t="s">
        <v>419</v>
      </c>
    </row>
    <row r="12">
      <c r="A12" s="44">
        <v>7.0</v>
      </c>
      <c r="B12" s="45" t="s">
        <v>420</v>
      </c>
      <c r="C12" s="46" t="s">
        <v>421</v>
      </c>
      <c r="D12" s="47" t="s">
        <v>422</v>
      </c>
    </row>
    <row r="13" ht="39.75" customHeight="1">
      <c r="A13" s="44">
        <v>8.0</v>
      </c>
      <c r="B13" s="45" t="s">
        <v>423</v>
      </c>
      <c r="C13" s="46" t="s">
        <v>424</v>
      </c>
      <c r="D13" s="47" t="s">
        <v>425</v>
      </c>
    </row>
    <row r="14" ht="39.75" customHeight="1">
      <c r="A14" s="44">
        <v>9.0</v>
      </c>
      <c r="B14" s="45" t="s">
        <v>426</v>
      </c>
      <c r="C14" s="46" t="s">
        <v>427</v>
      </c>
      <c r="D14" s="47" t="s">
        <v>428</v>
      </c>
    </row>
    <row r="15" ht="39.75" customHeight="1">
      <c r="A15" s="44">
        <v>10.0</v>
      </c>
      <c r="B15" s="49" t="s">
        <v>429</v>
      </c>
      <c r="C15" s="46" t="s">
        <v>430</v>
      </c>
      <c r="D15" s="47" t="s">
        <v>431</v>
      </c>
    </row>
    <row r="16" ht="39.75" customHeight="1">
      <c r="A16" s="44">
        <v>11.0</v>
      </c>
      <c r="B16" s="49" t="s">
        <v>432</v>
      </c>
      <c r="C16" s="46" t="s">
        <v>433</v>
      </c>
      <c r="D16" s="47" t="s">
        <v>434</v>
      </c>
    </row>
    <row r="17" ht="39.75" customHeight="1">
      <c r="A17" s="44">
        <v>12.0</v>
      </c>
      <c r="B17" s="49" t="s">
        <v>435</v>
      </c>
      <c r="C17" s="46" t="s">
        <v>436</v>
      </c>
      <c r="D17" s="47" t="s">
        <v>437</v>
      </c>
    </row>
    <row r="18" ht="39.75" customHeight="1">
      <c r="A18" s="44">
        <v>13.0</v>
      </c>
      <c r="B18" s="45" t="s">
        <v>438</v>
      </c>
      <c r="C18" s="46" t="s">
        <v>439</v>
      </c>
      <c r="D18" s="47" t="s">
        <v>428</v>
      </c>
    </row>
    <row r="19">
      <c r="A19" s="44">
        <v>14.0</v>
      </c>
      <c r="B19" s="49" t="s">
        <v>440</v>
      </c>
      <c r="C19" s="46" t="s">
        <v>441</v>
      </c>
      <c r="D19" s="47" t="s">
        <v>431</v>
      </c>
    </row>
    <row r="20">
      <c r="A20" s="44">
        <v>15.0</v>
      </c>
      <c r="B20" s="49" t="s">
        <v>442</v>
      </c>
      <c r="C20" s="46" t="s">
        <v>443</v>
      </c>
      <c r="D20" s="47" t="s">
        <v>434</v>
      </c>
    </row>
    <row r="21">
      <c r="A21" s="44">
        <v>16.0</v>
      </c>
      <c r="B21" s="49" t="s">
        <v>435</v>
      </c>
      <c r="C21" s="46" t="s">
        <v>444</v>
      </c>
      <c r="D21" s="47" t="s">
        <v>437</v>
      </c>
    </row>
    <row r="22">
      <c r="A22" s="44">
        <v>17.0</v>
      </c>
      <c r="B22" s="45" t="s">
        <v>445</v>
      </c>
      <c r="C22" s="46" t="s">
        <v>446</v>
      </c>
      <c r="D22" s="47" t="s">
        <v>447</v>
      </c>
    </row>
    <row r="23">
      <c r="A23" s="44">
        <v>18.0</v>
      </c>
      <c r="B23" s="45" t="s">
        <v>448</v>
      </c>
      <c r="C23" s="46" t="s">
        <v>449</v>
      </c>
      <c r="D23" s="47" t="s">
        <v>450</v>
      </c>
    </row>
    <row r="24">
      <c r="A24" s="44">
        <v>19.0</v>
      </c>
      <c r="B24" s="45" t="s">
        <v>451</v>
      </c>
      <c r="C24" s="46" t="s">
        <v>452</v>
      </c>
      <c r="D24" s="47" t="s">
        <v>453</v>
      </c>
    </row>
    <row r="25">
      <c r="A25" s="44">
        <v>20.0</v>
      </c>
      <c r="B25" s="45" t="s">
        <v>454</v>
      </c>
      <c r="C25" s="46" t="s">
        <v>455</v>
      </c>
      <c r="D25" s="47" t="s">
        <v>456</v>
      </c>
    </row>
    <row r="26">
      <c r="A26" s="44">
        <v>21.0</v>
      </c>
      <c r="B26" s="45" t="s">
        <v>457</v>
      </c>
      <c r="C26" s="46" t="s">
        <v>458</v>
      </c>
      <c r="D26" s="47" t="s">
        <v>459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4:D4"/>
  </mergeCells>
  <printOptions/>
  <pageMargins bottom="1.0" footer="0.0" header="0.0" left="0.75" right="0.75" top="1.0"/>
  <pageSetup fitToHeight="0" orientation="landscape"/>
  <drawing r:id="rId1"/>
</worksheet>
</file>